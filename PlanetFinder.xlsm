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Astronomy\"/>
    </mc:Choice>
  </mc:AlternateContent>
  <xr:revisionPtr revIDLastSave="0" documentId="13_ncr:1_{D4AC3632-98D4-4964-8E4B-A453BD3A99BB}" xr6:coauthVersionLast="47" xr6:coauthVersionMax="47" xr10:uidLastSave="{00000000-0000-0000-0000-000000000000}"/>
  <bookViews>
    <workbookView xWindow="1730" yWindow="1440" windowWidth="22740" windowHeight="18860" xr2:uid="{945B303D-5A7B-48FA-8BEF-3D7AAA2720EC}"/>
  </bookViews>
  <sheets>
    <sheet name="Plane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4" i="1" s="1"/>
  <c r="C41" i="1"/>
  <c r="D102" i="1"/>
  <c r="E101" i="1"/>
  <c r="D101" i="1"/>
  <c r="D104" i="1" s="1"/>
  <c r="B41" i="1" l="1"/>
  <c r="B42" i="1" s="1"/>
  <c r="B45" i="1" s="1"/>
  <c r="B3" i="1"/>
  <c r="D103" i="1"/>
  <c r="J72" i="1" l="1"/>
  <c r="J78" i="1" s="1"/>
  <c r="J70" i="1"/>
  <c r="J76" i="1" s="1"/>
  <c r="J68" i="1"/>
  <c r="J74" i="1" s="1"/>
  <c r="I72" i="1"/>
  <c r="I78" i="1" s="1"/>
  <c r="I70" i="1"/>
  <c r="I76" i="1" s="1"/>
  <c r="I68" i="1"/>
  <c r="I74" i="1" s="1"/>
  <c r="H72" i="1"/>
  <c r="H78" i="1" s="1"/>
  <c r="H68" i="1"/>
  <c r="H74" i="1" s="1"/>
  <c r="L72" i="1"/>
  <c r="L78" i="1" s="1"/>
  <c r="K72" i="1"/>
  <c r="K78" i="1" s="1"/>
  <c r="L71" i="1"/>
  <c r="L77" i="1" s="1"/>
  <c r="L79" i="1" s="1"/>
  <c r="K71" i="1"/>
  <c r="K77" i="1" s="1"/>
  <c r="G70" i="1"/>
  <c r="G76" i="1" s="1"/>
  <c r="J69" i="1"/>
  <c r="J75" i="1" s="1"/>
  <c r="I71" i="1"/>
  <c r="I77" i="1" s="1"/>
  <c r="I80" i="1" s="1"/>
  <c r="H70" i="1"/>
  <c r="H76" i="1" s="1"/>
  <c r="K69" i="1"/>
  <c r="K75" i="1" s="1"/>
  <c r="K68" i="1"/>
  <c r="K74" i="1" s="1"/>
  <c r="F71" i="1"/>
  <c r="F77" i="1" s="1"/>
  <c r="E71" i="1"/>
  <c r="E77" i="1" s="1"/>
  <c r="H69" i="1"/>
  <c r="H75" i="1" s="1"/>
  <c r="L67" i="1"/>
  <c r="L73" i="1" s="1"/>
  <c r="F72" i="1"/>
  <c r="F78" i="1" s="1"/>
  <c r="F70" i="1"/>
  <c r="F76" i="1" s="1"/>
  <c r="F68" i="1"/>
  <c r="F74" i="1" s="1"/>
  <c r="E72" i="1"/>
  <c r="E78" i="1" s="1"/>
  <c r="E70" i="1"/>
  <c r="E76" i="1" s="1"/>
  <c r="E68" i="1"/>
  <c r="E74" i="1" s="1"/>
  <c r="H71" i="1"/>
  <c r="H77" i="1" s="1"/>
  <c r="H67" i="1"/>
  <c r="H73" i="1" s="1"/>
  <c r="L70" i="1"/>
  <c r="L76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K70" i="1"/>
  <c r="K76" i="1" s="1"/>
  <c r="K80" i="1" s="1"/>
  <c r="L69" i="1"/>
  <c r="L75" i="1" s="1"/>
  <c r="J67" i="1"/>
  <c r="J73" i="1" s="1"/>
  <c r="I69" i="1"/>
  <c r="I75" i="1" s="1"/>
  <c r="G72" i="1"/>
  <c r="G78" i="1" s="1"/>
  <c r="L68" i="1"/>
  <c r="L74" i="1" s="1"/>
  <c r="F67" i="1"/>
  <c r="F73" i="1" s="1"/>
  <c r="E67" i="1"/>
  <c r="E73" i="1" s="1"/>
  <c r="G68" i="1"/>
  <c r="G74" i="1" s="1"/>
  <c r="G67" i="1"/>
  <c r="G73" i="1" s="1"/>
  <c r="J71" i="1"/>
  <c r="J77" i="1" s="1"/>
  <c r="J79" i="1" s="1"/>
  <c r="I67" i="1"/>
  <c r="I73" i="1" s="1"/>
  <c r="G69" i="1"/>
  <c r="G75" i="1" s="1"/>
  <c r="F69" i="1"/>
  <c r="F75" i="1" s="1"/>
  <c r="E69" i="1"/>
  <c r="E75" i="1" s="1"/>
  <c r="G71" i="1"/>
  <c r="G77" i="1" s="1"/>
  <c r="G80" i="1" s="1"/>
  <c r="K67" i="1"/>
  <c r="K73" i="1" s="1"/>
  <c r="K81" i="1" l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E79" i="1"/>
  <c r="F80" i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H80" i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5" i="1" s="1"/>
  <c r="H79" i="1"/>
  <c r="K79" i="1"/>
  <c r="I79" i="1"/>
  <c r="F79" i="1"/>
  <c r="J80" i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E80" i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G79" i="1"/>
  <c r="K92" i="1"/>
  <c r="K93" i="1" s="1"/>
  <c r="K94" i="1" s="1"/>
  <c r="K96" i="1"/>
  <c r="K95" i="1"/>
  <c r="L92" i="1"/>
  <c r="L93" i="1" s="1"/>
  <c r="L94" i="1" s="1"/>
  <c r="L96" i="1"/>
  <c r="L95" i="1"/>
  <c r="I81" i="1"/>
  <c r="I82" i="1" s="1"/>
  <c r="I83" i="1" s="1"/>
  <c r="I84" i="1" s="1"/>
  <c r="I85" i="1" s="1"/>
  <c r="I86" i="1" s="1"/>
  <c r="I87" i="1" s="1"/>
  <c r="I88" i="1" s="1"/>
  <c r="I89" i="1" s="1"/>
  <c r="I90" i="1" s="1"/>
  <c r="I91" i="1" s="1"/>
  <c r="G81" i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H92" i="1" l="1"/>
  <c r="H93" i="1" s="1"/>
  <c r="H94" i="1" s="1"/>
  <c r="H96" i="1"/>
  <c r="H98" i="1" s="1"/>
  <c r="H102" i="1" s="1"/>
  <c r="E92" i="1"/>
  <c r="E93" i="1" s="1"/>
  <c r="E94" i="1" s="1"/>
  <c r="E96" i="1"/>
  <c r="E95" i="1"/>
  <c r="J92" i="1"/>
  <c r="J93" i="1" s="1"/>
  <c r="J94" i="1" s="1"/>
  <c r="J96" i="1"/>
  <c r="J95" i="1"/>
  <c r="I92" i="1"/>
  <c r="I93" i="1" s="1"/>
  <c r="I94" i="1" s="1"/>
  <c r="I96" i="1"/>
  <c r="I95" i="1"/>
  <c r="F92" i="1"/>
  <c r="F93" i="1" s="1"/>
  <c r="F94" i="1" s="1"/>
  <c r="F96" i="1"/>
  <c r="F95" i="1"/>
  <c r="G92" i="1"/>
  <c r="G93" i="1" s="1"/>
  <c r="G94" i="1" s="1"/>
  <c r="G96" i="1"/>
  <c r="G95" i="1"/>
  <c r="H100" i="1"/>
  <c r="H99" i="1"/>
  <c r="K99" i="1"/>
  <c r="K100" i="1"/>
  <c r="K98" i="1"/>
  <c r="K102" i="1" s="1"/>
  <c r="L99" i="1"/>
  <c r="L100" i="1"/>
  <c r="L98" i="1"/>
  <c r="L102" i="1" s="1"/>
  <c r="K104" i="1" l="1"/>
  <c r="K103" i="1"/>
  <c r="E100" i="1"/>
  <c r="E99" i="1"/>
  <c r="E98" i="1"/>
  <c r="E102" i="1" s="1"/>
  <c r="L104" i="1"/>
  <c r="L103" i="1"/>
  <c r="J100" i="1"/>
  <c r="J99" i="1"/>
  <c r="J98" i="1"/>
  <c r="J102" i="1" s="1"/>
  <c r="F100" i="1"/>
  <c r="F99" i="1"/>
  <c r="F98" i="1"/>
  <c r="F102" i="1" s="1"/>
  <c r="G100" i="1"/>
  <c r="G99" i="1"/>
  <c r="G98" i="1"/>
  <c r="G102" i="1" s="1"/>
  <c r="K105" i="1" s="1"/>
  <c r="H104" i="1"/>
  <c r="H103" i="1"/>
  <c r="I100" i="1"/>
  <c r="I99" i="1"/>
  <c r="I98" i="1"/>
  <c r="I102" i="1" s="1"/>
  <c r="I105" i="1" l="1"/>
  <c r="J105" i="1"/>
  <c r="F105" i="1"/>
  <c r="I104" i="1"/>
  <c r="I103" i="1"/>
  <c r="J103" i="1"/>
  <c r="J104" i="1"/>
  <c r="G105" i="1"/>
  <c r="D105" i="1"/>
  <c r="F103" i="1"/>
  <c r="F104" i="1"/>
  <c r="E105" i="1"/>
  <c r="G104" i="1"/>
  <c r="H107" i="1" s="1"/>
  <c r="G103" i="1"/>
  <c r="K106" i="1" s="1"/>
  <c r="K45" i="1" s="1"/>
  <c r="H105" i="1"/>
  <c r="E104" i="1"/>
  <c r="E103" i="1"/>
  <c r="L105" i="1"/>
  <c r="L106" i="1" l="1"/>
  <c r="L45" i="1" s="1"/>
  <c r="H106" i="1"/>
  <c r="H45" i="1" s="1"/>
  <c r="E106" i="1"/>
  <c r="E45" i="1" s="1"/>
  <c r="F106" i="1"/>
  <c r="F45" i="1" s="1"/>
  <c r="F44" i="1" s="1"/>
  <c r="K43" i="1"/>
  <c r="K44" i="1"/>
  <c r="K42" i="1"/>
  <c r="F107" i="1"/>
  <c r="J107" i="1"/>
  <c r="I106" i="1"/>
  <c r="I45" i="1" s="1"/>
  <c r="G107" i="1"/>
  <c r="D107" i="1"/>
  <c r="E107" i="1"/>
  <c r="L107" i="1"/>
  <c r="L110" i="1" s="1"/>
  <c r="K107" i="1"/>
  <c r="K110" i="1" s="1"/>
  <c r="G106" i="1"/>
  <c r="D106" i="1"/>
  <c r="D45" i="1" s="1"/>
  <c r="J106" i="1"/>
  <c r="J45" i="1" s="1"/>
  <c r="I107" i="1"/>
  <c r="F110" i="1" l="1"/>
  <c r="H110" i="1"/>
  <c r="E110" i="1"/>
  <c r="F43" i="1"/>
  <c r="I110" i="1"/>
  <c r="K47" i="1"/>
  <c r="F47" i="1"/>
  <c r="F42" i="1"/>
  <c r="H44" i="1"/>
  <c r="H43" i="1"/>
  <c r="H42" i="1"/>
  <c r="H47" i="1"/>
  <c r="J47" i="1"/>
  <c r="J43" i="1"/>
  <c r="J44" i="1"/>
  <c r="J42" i="1"/>
  <c r="L44" i="1"/>
  <c r="L43" i="1"/>
  <c r="L42" i="1"/>
  <c r="L47" i="1"/>
  <c r="I47" i="1"/>
  <c r="I44" i="1"/>
  <c r="I42" i="1"/>
  <c r="I43" i="1"/>
  <c r="E47" i="1"/>
  <c r="E43" i="1"/>
  <c r="E44" i="1"/>
  <c r="E42" i="1"/>
  <c r="D43" i="1"/>
  <c r="B46" i="1"/>
  <c r="D47" i="1"/>
  <c r="D44" i="1"/>
  <c r="D42" i="1"/>
  <c r="J110" i="1"/>
  <c r="D110" i="1"/>
  <c r="J46" i="1" l="1"/>
  <c r="E46" i="1"/>
  <c r="L46" i="1"/>
  <c r="F46" i="1"/>
  <c r="K46" i="1"/>
  <c r="D46" i="1"/>
  <c r="I46" i="1"/>
  <c r="H46" i="1"/>
  <c r="H48" i="1" l="1"/>
  <c r="H49" i="1" s="1"/>
  <c r="H51" i="1"/>
  <c r="H50" i="1"/>
  <c r="F48" i="1"/>
  <c r="F49" i="1" s="1"/>
  <c r="F51" i="1"/>
  <c r="F50" i="1"/>
  <c r="I48" i="1"/>
  <c r="I49" i="1" s="1"/>
  <c r="I51" i="1"/>
  <c r="I50" i="1"/>
  <c r="L48" i="1"/>
  <c r="L49" i="1" s="1"/>
  <c r="L51" i="1"/>
  <c r="L50" i="1"/>
  <c r="D48" i="1"/>
  <c r="D49" i="1" s="1"/>
  <c r="D51" i="1"/>
  <c r="D50" i="1"/>
  <c r="E48" i="1"/>
  <c r="E49" i="1" s="1"/>
  <c r="E50" i="1"/>
  <c r="E51" i="1"/>
  <c r="K48" i="1"/>
  <c r="K49" i="1" s="1"/>
  <c r="K51" i="1"/>
  <c r="K50" i="1"/>
  <c r="J48" i="1"/>
  <c r="J49" i="1" s="1"/>
  <c r="J51" i="1"/>
  <c r="J50" i="1"/>
</calcChain>
</file>

<file path=xl/sharedStrings.xml><?xml version="1.0" encoding="utf-8"?>
<sst xmlns="http://schemas.openxmlformats.org/spreadsheetml/2006/main" count="99" uniqueCount="61">
  <si>
    <t>Date</t>
  </si>
  <si>
    <t>Sun</t>
  </si>
  <si>
    <t>Mercury</t>
  </si>
  <si>
    <t>Venus</t>
  </si>
  <si>
    <t>Earth</t>
  </si>
  <si>
    <t>Mars</t>
  </si>
  <si>
    <t>Jupiter</t>
  </si>
  <si>
    <t>Saturn</t>
  </si>
  <si>
    <t>Uranus</t>
  </si>
  <si>
    <t>Neptune</t>
  </si>
  <si>
    <t>Julian</t>
  </si>
  <si>
    <t>Right Ascension</t>
  </si>
  <si>
    <t>DT</t>
  </si>
  <si>
    <t>FFPA</t>
  </si>
  <si>
    <t>Eastern Horizon</t>
  </si>
  <si>
    <t>q</t>
  </si>
  <si>
    <t>Rise Time</t>
  </si>
  <si>
    <t>Set Time</t>
  </si>
  <si>
    <t>Planet</t>
  </si>
  <si>
    <t>Revolution Period (Days)</t>
  </si>
  <si>
    <t>Orbital Elements J2000 Degrees</t>
  </si>
  <si>
    <t>a -major axis</t>
  </si>
  <si>
    <t>Eccentricity</t>
  </si>
  <si>
    <t>Inclination</t>
  </si>
  <si>
    <t>Mean Longitude</t>
  </si>
  <si>
    <t>w</t>
  </si>
  <si>
    <t>Longitude of Asecending Node</t>
  </si>
  <si>
    <t>W</t>
  </si>
  <si>
    <t>Orbital Element Adjustments Degrees</t>
  </si>
  <si>
    <t>Orbital Elements TEphemris Degrees</t>
  </si>
  <si>
    <t>Orbital Elements TEphemris Radians</t>
  </si>
  <si>
    <t>Radians</t>
  </si>
  <si>
    <t>M</t>
  </si>
  <si>
    <t>E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</si>
  <si>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</si>
  <si>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</si>
  <si>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</si>
  <si>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</si>
  <si>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</si>
  <si>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</si>
  <si>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</si>
  <si>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</si>
  <si>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</si>
  <si>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</si>
  <si>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En</t>
  </si>
  <si>
    <t>Confirmation of En</t>
  </si>
  <si>
    <t>Mt vs M(En)</t>
  </si>
  <si>
    <t>x'</t>
  </si>
  <si>
    <t>y'</t>
  </si>
  <si>
    <t>z'</t>
  </si>
  <si>
    <t>xecl</t>
  </si>
  <si>
    <t>yecl</t>
  </si>
  <si>
    <t>zecl</t>
  </si>
  <si>
    <t>Obliquity</t>
  </si>
  <si>
    <t>xeq</t>
  </si>
  <si>
    <t>yeq</t>
  </si>
  <si>
    <t>zeq</t>
  </si>
  <si>
    <t>Declination</t>
  </si>
  <si>
    <t>cos</t>
  </si>
  <si>
    <t>sin</t>
  </si>
  <si>
    <r>
      <rPr>
        <sz val="14"/>
        <color theme="0"/>
        <rFont val="Symbol"/>
        <family val="1"/>
        <charset val="2"/>
      </rPr>
      <t>D</t>
    </r>
    <r>
      <rPr>
        <sz val="14"/>
        <color theme="0"/>
        <rFont val="Calibri"/>
        <family val="2"/>
        <scheme val="minor"/>
      </rPr>
      <t>Eastern Horizon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</si>
</sst>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"/>
    <numFmt numFmtId="165" formatCode="m/d/yy\ h:mm;@"/>
    <numFmt numFmtId="166" formatCode="0.00000000"/>
    <numFmt numFmtId="167" formatCode="0.0"/>
    <numFmt numFmtId="168" formatCode="[$-409]h:mm\ AM/PM;@"/>
    <numFmt numFmtId="169" formatCode="0.0000000"/>
    <numFmt numFmtId="170" formatCode="0.00000000%"/>
    <numFmt numFmtId="171" formatCode="0.00000"/>
  </numFmts>
  <fonts count="9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20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0"/>
      <name val="Symbol"/>
      <family val="1"/>
      <charset val="2"/>
    </font>
    <font>
      <sz val="14"/>
      <color theme="0"/>
      <name val="Calibri"/>
      <family val="1"/>
      <charset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2" borderId="0" xfId="0" applyFill="1"/>
    <xf numFmtId="164" fontId="0" fillId="2" borderId="0" xfId="0" applyNumberFormat="1" applyFill="1"/>
    <xf numFmtId="166" fontId="0" fillId="2" borderId="0" xfId="0" applyNumberFormat="1" applyFill="1"/>
    <xf numFmtId="14" fontId="2" fillId="2" borderId="0" xfId="0" applyNumberFormat="1" applyFont="1" applyFill="1" applyAlignment="1" applyProtection="1">
      <alignment horizontal="center" vertical="center"/>
      <protection locked="0"/>
    </xf>
    <xf numFmtId="168" fontId="2" fillId="2" borderId="0" xfId="0" applyNumberFormat="1" applyFont="1" applyFill="1" applyAlignment="1" applyProtection="1">
      <alignment horizontal="center" vertical="center"/>
      <protection locked="0"/>
    </xf>
    <xf numFmtId="165" fontId="1" fillId="2" borderId="0" xfId="0" applyNumberFormat="1" applyFont="1" applyFill="1" applyAlignment="1">
      <alignment horizontal="left" vertical="center"/>
    </xf>
    <xf numFmtId="168" fontId="1" fillId="2" borderId="0" xfId="0" applyNumberFormat="1" applyFont="1" applyFill="1" applyAlignment="1">
      <alignment horizontal="left"/>
    </xf>
    <xf numFmtId="164" fontId="3" fillId="2" borderId="0" xfId="0" applyNumberFormat="1" applyFont="1" applyFill="1" applyAlignment="1">
      <alignment horizontal="left" vertical="center"/>
    </xf>
    <xf numFmtId="164" fontId="4" fillId="2" borderId="0" xfId="0" applyNumberFormat="1" applyFont="1" applyFill="1"/>
    <xf numFmtId="0" fontId="4" fillId="2" borderId="0" xfId="0" applyFont="1" applyFill="1"/>
    <xf numFmtId="166" fontId="4" fillId="2" borderId="0" xfId="0" applyNumberFormat="1" applyFont="1" applyFill="1"/>
    <xf numFmtId="14" fontId="4" fillId="2" borderId="0" xfId="0" applyNumberFormat="1" applyFont="1" applyFill="1"/>
    <xf numFmtId="2" fontId="4" fillId="2" borderId="0" xfId="0" applyNumberFormat="1" applyFont="1" applyFill="1"/>
    <xf numFmtId="1" fontId="4" fillId="2" borderId="0" xfId="0" applyNumberFormat="1" applyFont="1" applyFill="1"/>
    <xf numFmtId="169" fontId="4" fillId="2" borderId="0" xfId="0" applyNumberFormat="1" applyFont="1" applyFill="1"/>
    <xf numFmtId="170" fontId="4" fillId="2" borderId="0" xfId="0" applyNumberFormat="1" applyFont="1" applyFill="1"/>
    <xf numFmtId="171" fontId="4" fillId="2" borderId="0" xfId="0" applyNumberFormat="1" applyFont="1" applyFill="1"/>
    <xf numFmtId="164" fontId="1" fillId="2" borderId="0" xfId="0" applyNumberFormat="1" applyFont="1" applyFill="1"/>
    <xf numFmtId="0" fontId="1" fillId="2" borderId="0" xfId="0" applyFont="1" applyFill="1"/>
    <xf numFmtId="164" fontId="1" fillId="2" borderId="0" xfId="0" applyNumberFormat="1" applyFont="1" applyFill="1" applyAlignment="1">
      <alignment horizontal="center" vertical="center"/>
    </xf>
    <xf numFmtId="164" fontId="5" fillId="2" borderId="0" xfId="0" applyNumberFormat="1" applyFont="1" applyFill="1"/>
    <xf numFmtId="14" fontId="5" fillId="2" borderId="0" xfId="0" applyNumberFormat="1" applyFont="1" applyFill="1"/>
    <xf numFmtId="165" fontId="6" fillId="2" borderId="0" xfId="0" applyNumberFormat="1" applyFont="1" applyFill="1"/>
    <xf numFmtId="0" fontId="6" fillId="2" borderId="0" xfId="0" applyFont="1" applyFill="1" applyAlignment="1">
      <alignment horizontal="center" vertical="center"/>
    </xf>
    <xf numFmtId="166" fontId="6" fillId="2" borderId="0" xfId="0" applyNumberFormat="1" applyFont="1" applyFill="1" applyAlignment="1">
      <alignment horizontal="center" vertical="center"/>
    </xf>
    <xf numFmtId="0" fontId="6" fillId="2" borderId="0" xfId="0" applyFont="1" applyFill="1"/>
    <xf numFmtId="2" fontId="5" fillId="2" borderId="0" xfId="0" applyNumberFormat="1" applyFont="1" applyFill="1"/>
    <xf numFmtId="1" fontId="6" fillId="2" borderId="0" xfId="0" applyNumberFormat="1" applyFont="1" applyFill="1" applyAlignment="1">
      <alignment horizontal="center" vertical="center"/>
    </xf>
    <xf numFmtId="167" fontId="5" fillId="2" borderId="0" xfId="0" applyNumberFormat="1" applyFont="1" applyFill="1"/>
    <xf numFmtId="165" fontId="5" fillId="2" borderId="0" xfId="0" applyNumberFormat="1" applyFont="1" applyFill="1"/>
    <xf numFmtId="2" fontId="6" fillId="2" borderId="0" xfId="0" applyNumberFormat="1" applyFont="1" applyFill="1" applyAlignment="1">
      <alignment horizontal="center" vertical="center"/>
    </xf>
    <xf numFmtId="164" fontId="6" fillId="2" borderId="0" xfId="0" applyNumberFormat="1" applyFont="1" applyFill="1"/>
    <xf numFmtId="168" fontId="6" fillId="2" borderId="0" xfId="0" applyNumberFormat="1" applyFont="1" applyFill="1" applyAlignment="1">
      <alignment horizontal="center" vertical="center"/>
    </xf>
    <xf numFmtId="166" fontId="5" fillId="2" borderId="0" xfId="0" applyNumberFormat="1" applyFont="1" applyFill="1" applyAlignment="1">
      <alignment horizontal="center" vertical="center"/>
    </xf>
    <xf numFmtId="1" fontId="5" fillId="2" borderId="0" xfId="0" applyNumberFormat="1" applyFont="1" applyFill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168" fontId="5" fillId="2" borderId="0" xfId="0" applyNumberFormat="1" applyFont="1" applyFill="1" applyAlignment="1">
      <alignment horizontal="center" vertical="center"/>
    </xf>
    <xf numFmtId="0" fontId="8" fillId="2" borderId="0" xfId="0" applyFont="1" applyFill="1"/>
  </cellXfs>
  <cellStyles count="1">
    <cellStyle name="Normal" xfId="0" builtinId="0"/>
  </cellStyles>
  <dxfs count="2">
    <dxf>
      <font>
        <color auto="1"/>
      </font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3" Type="http://schemas.openxmlformats.org/officeDocument/2006/relationships/image" Target="../media/image3.gif"/><Relationship Id="rId7" Type="http://schemas.openxmlformats.org/officeDocument/2006/relationships/image" Target="../media/image7.jpg"/><Relationship Id="rId2" Type="http://schemas.microsoft.com/office/2011/relationships/chartColorStyle" Target="colors1.xml"/><Relationship Id="rId1" Type="http://schemas.microsoft.com/office/2011/relationships/chartStyle" Target="style1.xml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499779130983756E-2"/>
          <c:y val="2.222082955430774E-2"/>
          <c:w val="0.944757345424594"/>
          <c:h val="0.93091692018348016"/>
        </c:manualLayout>
      </c:layout>
      <c:scatterChart>
        <c:scatterStyle val="lineMarker"/>
        <c:varyColors val="0"/>
        <c:ser>
          <c:idx val="1"/>
          <c:order val="0"/>
          <c:tx>
            <c:strRef>
              <c:f>Planets!$E$41</c:f>
              <c:strCache>
                <c:ptCount val="1"/>
                <c:pt idx="0">
                  <c:v>Mercury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Planets!$E$50</c:f>
              <c:numCache>
                <c:formatCode>0.000</c:formatCode>
                <c:ptCount val="1"/>
                <c:pt idx="0">
                  <c:v>-0.98488639456969362</c:v>
                </c:pt>
              </c:numCache>
            </c:numRef>
          </c:xVal>
          <c:yVal>
            <c:numRef>
              <c:f>Planets!$E$51</c:f>
              <c:numCache>
                <c:formatCode>0.000</c:formatCode>
                <c:ptCount val="1"/>
                <c:pt idx="0">
                  <c:v>0.17320158715066603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B8-4FDB-B563-B7E5C0F9040D}"/>
            </c:ext>
          </c:extLst>
        </c:ser>
        <c:ser>
          <c:idx val="2"/>
          <c:order val="1"/>
          <c:tx>
            <c:strRef>
              <c:f>Planets!$F$41</c:f>
              <c:strCache>
                <c:ptCount val="1"/>
                <c:pt idx="0">
                  <c:v>Venus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6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Planets!$F$50</c:f>
              <c:numCache>
                <c:formatCode>0.000</c:formatCode>
                <c:ptCount val="1"/>
                <c:pt idx="0">
                  <c:v>-0.86537313417164796</c:v>
                </c:pt>
              </c:numCache>
            </c:numRef>
          </c:xVal>
          <c:yVal>
            <c:numRef>
              <c:f>Planets!$F$51</c:f>
              <c:numCache>
                <c:formatCode>0.000</c:formatCode>
                <c:ptCount val="1"/>
                <c:pt idx="0">
                  <c:v>0.50112806612076621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B8-4FDB-B563-B7E5C0F9040D}"/>
            </c:ext>
          </c:extLst>
        </c:ser>
        <c:ser>
          <c:idx val="0"/>
          <c:order val="2"/>
          <c:tx>
            <c:strRef>
              <c:f>Planets!$H$41</c:f>
              <c:strCache>
                <c:ptCount val="1"/>
                <c:pt idx="0">
                  <c:v>Mars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Planets!$H$50</c:f>
              <c:numCache>
                <c:formatCode>0.000</c:formatCode>
                <c:ptCount val="1"/>
                <c:pt idx="0">
                  <c:v>-0.79422915500819402</c:v>
                </c:pt>
              </c:numCache>
            </c:numRef>
          </c:xVal>
          <c:yVal>
            <c:numRef>
              <c:f>Planets!$H$51</c:f>
              <c:numCache>
                <c:formatCode>0.000</c:formatCode>
                <c:ptCount val="1"/>
                <c:pt idx="0">
                  <c:v>-0.6076183418355392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B8-4FDB-B563-B7E5C0F9040D}"/>
            </c:ext>
          </c:extLst>
        </c:ser>
        <c:ser>
          <c:idx val="3"/>
          <c:order val="3"/>
          <c:tx>
            <c:strRef>
              <c:f>Planets!$I$41</c:f>
              <c:strCache>
                <c:ptCount val="1"/>
                <c:pt idx="0">
                  <c:v>Jupiter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6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Planets!$I$50</c:f>
              <c:numCache>
                <c:formatCode>0.000</c:formatCode>
                <c:ptCount val="1"/>
                <c:pt idx="0">
                  <c:v>-0.73461912694175047</c:v>
                </c:pt>
              </c:numCache>
            </c:numRef>
          </c:xVal>
          <c:yVal>
            <c:numRef>
              <c:f>Planets!$I$51</c:f>
              <c:numCache>
                <c:formatCode>0.000</c:formatCode>
                <c:ptCount val="1"/>
                <c:pt idx="0">
                  <c:v>0.67847972580714622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EB8-4FDB-B563-B7E5C0F9040D}"/>
            </c:ext>
          </c:extLst>
        </c:ser>
        <c:ser>
          <c:idx val="4"/>
          <c:order val="4"/>
          <c:tx>
            <c:strRef>
              <c:f>Planets!$J$41</c:f>
              <c:strCache>
                <c:ptCount val="1"/>
                <c:pt idx="0">
                  <c:v>Saturn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2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xVal>
            <c:numRef>
              <c:f>Planets!$J$50</c:f>
              <c:numCache>
                <c:formatCode>0.000</c:formatCode>
                <c:ptCount val="1"/>
                <c:pt idx="0">
                  <c:v>-0.48971739895454602</c:v>
                </c:pt>
              </c:numCache>
            </c:numRef>
          </c:xVal>
          <c:yVal>
            <c:numRef>
              <c:f>Planets!$J$51</c:f>
              <c:numCache>
                <c:formatCode>0.000</c:formatCode>
                <c:ptCount val="1"/>
                <c:pt idx="0">
                  <c:v>-0.87188122422793002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EB8-4FDB-B563-B7E5C0F9040D}"/>
            </c:ext>
          </c:extLst>
        </c:ser>
        <c:ser>
          <c:idx val="5"/>
          <c:order val="5"/>
          <c:tx>
            <c:strRef>
              <c:f>Planets!$D$41</c:f>
              <c:strCache>
                <c:ptCount val="1"/>
                <c:pt idx="0">
                  <c:v>Sun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6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Planets!$D$50</c:f>
              <c:numCache>
                <c:formatCode>0.000</c:formatCode>
                <c:ptCount val="1"/>
                <c:pt idx="0">
                  <c:v>-0.99247793216254587</c:v>
                </c:pt>
              </c:numCache>
            </c:numRef>
          </c:xVal>
          <c:yVal>
            <c:numRef>
              <c:f>Planets!$D$51</c:f>
              <c:numCache>
                <c:formatCode>0.000</c:formatCode>
                <c:ptCount val="1"/>
                <c:pt idx="0">
                  <c:v>-0.1224236667085129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BE-40DF-98A0-A977768BD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440"/>
        <c:axId val="723920"/>
      </c:scatterChart>
      <c:valAx>
        <c:axId val="723440"/>
        <c:scaling>
          <c:orientation val="minMax"/>
          <c:max val="1.1000000000000001"/>
          <c:min val="-1.1000000000000001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920"/>
        <c:crosses val="autoZero"/>
        <c:crossBetween val="midCat"/>
        <c:majorUnit val="0.2"/>
      </c:valAx>
      <c:valAx>
        <c:axId val="723920"/>
        <c:scaling>
          <c:orientation val="minMax"/>
          <c:max val="1.1000000000000001"/>
          <c:min val="0"/>
        </c:scaling>
        <c:delete val="0"/>
        <c:axPos val="l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3440"/>
        <c:crosses val="autoZero"/>
        <c:crossBetween val="midCat"/>
        <c:minorUnit val="0.2"/>
      </c:valAx>
      <c:spPr>
        <a:solidFill>
          <a:schemeClr val="tx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998234595675554"/>
          <c:y val="2.1040182477190368E-2"/>
          <c:w val="6.7178087114110732E-2"/>
          <c:h val="0.190245281839770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jp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996950" y="1117600"/>
    <xdr:ext cx="12801600" cy="64008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146050</xdr:colOff>
          <xdr:row>3</xdr:row>
          <xdr:rowOff>63500</xdr:rowOff>
        </xdr:from>
        <xdr:to>
          <xdr:col>2</xdr:col>
          <xdr:colOff>1060450</xdr:colOff>
          <xdr:row>6</xdr:row>
          <xdr:rowOff>19050</xdr:rowOff>
        </xdr:to>
        <xdr:sp macro="" textlink="">
          <xdr:nvSpPr>
            <xdr:cNvPr id="1025" name="IncreaseD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146050</xdr:colOff>
          <xdr:row>6</xdr:row>
          <xdr:rowOff>146050</xdr:rowOff>
        </xdr:from>
        <xdr:to>
          <xdr:col>2</xdr:col>
          <xdr:colOff>1060450</xdr:colOff>
          <xdr:row>9</xdr:row>
          <xdr:rowOff>101600</xdr:rowOff>
        </xdr:to>
        <xdr:sp macro="" textlink="">
          <xdr:nvSpPr>
            <xdr:cNvPr id="1027" name="DecreaseDa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3</xdr:row>
          <xdr:rowOff>63500</xdr:rowOff>
        </xdr:from>
        <xdr:to>
          <xdr:col>3</xdr:col>
          <xdr:colOff>1066800</xdr:colOff>
          <xdr:row>6</xdr:row>
          <xdr:rowOff>19050</xdr:rowOff>
        </xdr:to>
        <xdr:sp macro="" textlink="">
          <xdr:nvSpPr>
            <xdr:cNvPr id="1028" name="IncreaseTim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6</xdr:row>
          <xdr:rowOff>146050</xdr:rowOff>
        </xdr:from>
        <xdr:to>
          <xdr:col>3</xdr:col>
          <xdr:colOff>1066800</xdr:colOff>
          <xdr:row>9</xdr:row>
          <xdr:rowOff>101600</xdr:rowOff>
        </xdr:to>
        <xdr:sp macro="" textlink="">
          <xdr:nvSpPr>
            <xdr:cNvPr id="1029" name="DecreaseTim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323850</xdr:colOff>
      <xdr:row>34</xdr:row>
      <xdr:rowOff>95250</xdr:rowOff>
    </xdr:from>
    <xdr:to>
      <xdr:col>8</xdr:col>
      <xdr:colOff>229972</xdr:colOff>
      <xdr:row>37</xdr:row>
      <xdr:rowOff>177799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6502400"/>
          <a:ext cx="896722" cy="6349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983CF-6C3D-459F-9600-A713293CD907}">
  <sheetPr codeName="Sheet2">
    <pageSetUpPr fitToPage="1"/>
  </sheetPr>
  <dimension ref="A1:T185"/>
  <sheetViews>
    <sheetView tabSelected="1" workbookViewId="0">
      <selection activeCell="C2" sqref="C2"/>
    </sheetView>
  </sheetViews>
  <sheetFormatPr defaultColWidth="0" defaultRowHeight="14.5" zeroHeight="1"/>
  <cols>
    <col min="1" max="1" width="8.7265625" style="1" customWidth="1"/>
    <col min="2" max="2" width="1.90625" style="1" customWidth="1"/>
    <col min="3" max="4" width="17.36328125" style="1" customWidth="1"/>
    <col min="5" max="5" width="16.81640625" style="1" customWidth="1"/>
    <col min="6" max="12" width="14.1796875" style="1" customWidth="1"/>
    <col min="13" max="13" width="36.7265625" style="1" customWidth="1"/>
    <col min="14" max="14" width="8.7265625" style="1" customWidth="1"/>
    <col min="15" max="20" width="0" style="10" hidden="1" customWidth="1"/>
    <col min="21" max="16384" width="8.7265625" style="1" hidden="1"/>
  </cols>
  <sheetData>
    <row r="1" spans="1:12"/>
    <row r="2" spans="1:12" ht="26">
      <c r="B2" s="6">
        <f ca="1">NOW()</f>
        <v>46170.769535300926</v>
      </c>
      <c r="C2" s="4">
        <v>46170</v>
      </c>
      <c r="D2" s="5">
        <v>0.76953333333221963</v>
      </c>
    </row>
    <row r="3" spans="1:12">
      <c r="B3" s="6">
        <f ca="1">ROUNDDOWN(B2,0)</f>
        <v>46170</v>
      </c>
    </row>
    <row r="4" spans="1:12">
      <c r="B4" s="7">
        <f ca="1">B2-ROUNDDOWN(B2,0)</f>
        <v>0.76953530092578148</v>
      </c>
    </row>
    <row r="5" spans="1:12"/>
    <row r="6" spans="1:12"/>
    <row r="7" spans="1:12"/>
    <row r="8" spans="1:12"/>
    <row r="9" spans="1:12"/>
    <row r="10" spans="1:12"/>
    <row r="11" spans="1:12"/>
    <row r="12" spans="1:12"/>
    <row r="13" spans="1:12"/>
    <row r="14" spans="1:12"/>
    <row r="15" spans="1:12"/>
    <row r="16" spans="1:12">
      <c r="A16" s="2"/>
      <c r="B16" s="2"/>
      <c r="E16" s="3"/>
      <c r="F16" s="3"/>
      <c r="G16" s="3"/>
      <c r="H16" s="3"/>
      <c r="I16" s="3"/>
      <c r="J16" s="3"/>
      <c r="K16" s="3"/>
      <c r="L16" s="3"/>
    </row>
    <row r="17" spans="1:12">
      <c r="A17" s="2"/>
      <c r="B17" s="2"/>
      <c r="E17" s="3"/>
      <c r="F17" s="3"/>
      <c r="G17" s="3"/>
      <c r="H17" s="3"/>
      <c r="I17" s="3"/>
      <c r="J17" s="3"/>
      <c r="K17" s="3"/>
      <c r="L17" s="3"/>
    </row>
    <row r="18" spans="1:12">
      <c r="A18" s="2"/>
      <c r="B18" s="2"/>
      <c r="E18" s="3"/>
      <c r="F18" s="3"/>
      <c r="G18" s="3"/>
      <c r="H18" s="3"/>
      <c r="I18" s="3"/>
      <c r="J18" s="3"/>
      <c r="K18" s="3"/>
      <c r="L18" s="3"/>
    </row>
    <row r="19" spans="1:12">
      <c r="A19" s="2"/>
      <c r="B19" s="2"/>
      <c r="E19" s="3"/>
      <c r="F19" s="3"/>
      <c r="G19" s="3"/>
      <c r="H19" s="3"/>
      <c r="I19" s="3"/>
      <c r="J19" s="3"/>
      <c r="K19" s="3"/>
      <c r="L19" s="3"/>
    </row>
    <row r="20" spans="1:12">
      <c r="A20" s="2"/>
      <c r="B20" s="2"/>
      <c r="E20" s="3"/>
      <c r="F20" s="3"/>
      <c r="G20" s="3"/>
      <c r="H20" s="3"/>
      <c r="I20" s="3"/>
      <c r="J20" s="3"/>
      <c r="K20" s="3"/>
      <c r="L20" s="3"/>
    </row>
    <row r="21" spans="1:12">
      <c r="A21" s="2"/>
      <c r="B21" s="2"/>
      <c r="E21" s="3"/>
      <c r="F21" s="3"/>
      <c r="G21" s="3"/>
      <c r="H21" s="3"/>
      <c r="I21" s="3"/>
      <c r="J21" s="3"/>
      <c r="K21" s="3"/>
      <c r="L21" s="3"/>
    </row>
    <row r="22" spans="1:12">
      <c r="A22" s="2"/>
      <c r="B22" s="2"/>
      <c r="E22" s="3"/>
      <c r="F22" s="3"/>
      <c r="G22" s="3"/>
      <c r="H22" s="3"/>
      <c r="I22" s="3"/>
      <c r="J22" s="3"/>
      <c r="K22" s="3"/>
      <c r="L22" s="3"/>
    </row>
    <row r="23" spans="1:12">
      <c r="A23" s="2"/>
      <c r="B23" s="2"/>
      <c r="E23" s="3"/>
      <c r="F23" s="3"/>
      <c r="G23" s="3"/>
      <c r="H23" s="3"/>
      <c r="I23" s="3"/>
      <c r="J23" s="3"/>
      <c r="K23" s="3"/>
      <c r="L23" s="3"/>
    </row>
    <row r="24" spans="1:12">
      <c r="A24" s="2"/>
      <c r="B24" s="2"/>
      <c r="E24" s="3"/>
      <c r="F24" s="3"/>
      <c r="G24" s="3"/>
      <c r="H24" s="3"/>
      <c r="I24" s="3"/>
      <c r="J24" s="3"/>
      <c r="K24" s="3"/>
      <c r="L24" s="3"/>
    </row>
    <row r="25" spans="1:12">
      <c r="A25" s="2"/>
      <c r="B25" s="2"/>
      <c r="E25" s="3"/>
      <c r="F25" s="3"/>
      <c r="G25" s="3"/>
      <c r="H25" s="3"/>
      <c r="I25" s="3"/>
      <c r="J25" s="3"/>
      <c r="K25" s="3"/>
      <c r="L25" s="3"/>
    </row>
    <row r="26" spans="1:12">
      <c r="A26" s="2"/>
      <c r="B26" s="2"/>
      <c r="E26" s="3"/>
      <c r="F26" s="3"/>
      <c r="G26" s="3"/>
      <c r="H26" s="3"/>
      <c r="I26" s="3"/>
      <c r="J26" s="3"/>
      <c r="K26" s="3"/>
      <c r="L26" s="3"/>
    </row>
    <row r="27" spans="1:12">
      <c r="A27" s="2"/>
      <c r="B27" s="2"/>
      <c r="E27" s="3"/>
      <c r="F27" s="3"/>
      <c r="G27" s="3"/>
      <c r="H27" s="3"/>
      <c r="I27" s="3"/>
      <c r="J27" s="3"/>
      <c r="K27" s="3"/>
      <c r="L27" s="3"/>
    </row>
    <row r="28" spans="1:12">
      <c r="A28" s="2"/>
      <c r="B28" s="2"/>
      <c r="E28" s="3"/>
      <c r="F28" s="3"/>
      <c r="G28" s="3"/>
      <c r="H28" s="3"/>
      <c r="I28" s="3"/>
      <c r="J28" s="3"/>
      <c r="K28" s="3"/>
      <c r="L28" s="3"/>
    </row>
    <row r="29" spans="1:12">
      <c r="A29" s="2"/>
      <c r="B29" s="2"/>
      <c r="E29" s="3"/>
      <c r="F29" s="3"/>
      <c r="G29" s="3"/>
      <c r="H29" s="3"/>
      <c r="I29" s="3"/>
      <c r="J29" s="3"/>
      <c r="K29" s="3"/>
      <c r="L29" s="3"/>
    </row>
    <row r="30" spans="1:12">
      <c r="A30" s="2"/>
      <c r="B30" s="2"/>
      <c r="E30" s="3"/>
      <c r="F30" s="3"/>
      <c r="G30" s="3"/>
      <c r="H30" s="3"/>
      <c r="I30" s="3"/>
      <c r="J30" s="3"/>
      <c r="K30" s="3"/>
      <c r="L30" s="3"/>
    </row>
    <row r="31" spans="1:12">
      <c r="A31" s="2"/>
      <c r="B31" s="2"/>
      <c r="E31" s="3"/>
      <c r="F31" s="3"/>
      <c r="G31" s="3"/>
      <c r="H31" s="3"/>
      <c r="I31" s="3"/>
      <c r="J31" s="3"/>
      <c r="K31" s="3"/>
      <c r="L31" s="3"/>
    </row>
    <row r="32" spans="1:12">
      <c r="A32" s="2"/>
      <c r="B32" s="2"/>
      <c r="E32" s="3"/>
      <c r="F32" s="3"/>
      <c r="G32" s="3"/>
      <c r="H32" s="3"/>
      <c r="I32" s="3"/>
      <c r="J32" s="3"/>
      <c r="K32" s="3"/>
      <c r="L32" s="3"/>
    </row>
    <row r="33" spans="1:14">
      <c r="A33" s="2"/>
      <c r="B33" s="2"/>
      <c r="E33" s="3"/>
      <c r="F33" s="3"/>
      <c r="G33" s="3"/>
      <c r="H33" s="3"/>
      <c r="I33" s="3"/>
      <c r="J33" s="3"/>
      <c r="K33" s="3"/>
      <c r="L33" s="3"/>
    </row>
    <row r="34" spans="1:14">
      <c r="A34" s="2"/>
      <c r="B34" s="2"/>
      <c r="E34" s="3"/>
      <c r="F34" s="3"/>
      <c r="G34" s="3"/>
      <c r="H34" s="3"/>
      <c r="I34" s="3"/>
      <c r="J34" s="3"/>
      <c r="K34" s="3"/>
      <c r="L34" s="3"/>
    </row>
    <row r="35" spans="1:14">
      <c r="A35" s="2"/>
      <c r="B35" s="2"/>
      <c r="E35" s="3"/>
      <c r="F35" s="3"/>
      <c r="G35" s="3"/>
      <c r="H35" s="3"/>
      <c r="I35" s="3"/>
      <c r="J35" s="3"/>
      <c r="K35" s="3"/>
      <c r="L35" s="3"/>
    </row>
    <row r="36" spans="1:14">
      <c r="A36" s="2"/>
      <c r="B36" s="2"/>
      <c r="E36" s="3"/>
      <c r="F36" s="3"/>
      <c r="G36" s="3"/>
      <c r="H36" s="3"/>
      <c r="I36" s="3"/>
      <c r="J36" s="3"/>
      <c r="K36" s="3"/>
      <c r="L36" s="3"/>
    </row>
    <row r="37" spans="1:14">
      <c r="A37" s="2"/>
      <c r="B37" s="2"/>
      <c r="E37" s="3"/>
      <c r="F37" s="3"/>
      <c r="G37" s="3"/>
      <c r="H37" s="3"/>
      <c r="I37" s="3"/>
      <c r="J37" s="3"/>
      <c r="K37" s="3"/>
      <c r="L37" s="3"/>
    </row>
    <row r="38" spans="1:14" ht="40" customHeight="1">
      <c r="B38" s="8" t="s">
        <v>27</v>
      </c>
      <c r="E38" s="3"/>
      <c r="F38" s="3"/>
      <c r="G38" s="3"/>
      <c r="H38" s="3"/>
      <c r="I38" s="3"/>
      <c r="J38" s="3"/>
      <c r="K38" s="3"/>
      <c r="L38" s="3"/>
      <c r="N38" s="8" t="s">
        <v>33</v>
      </c>
    </row>
    <row r="39" spans="1:14">
      <c r="A39" s="2"/>
      <c r="B39" s="2"/>
      <c r="E39" s="3"/>
      <c r="F39" s="3"/>
      <c r="G39" s="3"/>
      <c r="H39" s="3"/>
      <c r="I39" s="3"/>
      <c r="J39" s="3"/>
      <c r="K39" s="3"/>
      <c r="L39" s="3"/>
    </row>
    <row r="40" spans="1:14" s="10" customFormat="1">
      <c r="A40" s="9"/>
      <c r="B40" s="9"/>
      <c r="E40" s="11"/>
      <c r="F40" s="11"/>
      <c r="G40" s="11"/>
      <c r="H40" s="11"/>
      <c r="I40" s="11"/>
      <c r="J40" s="11"/>
      <c r="K40" s="11"/>
      <c r="L40" s="11"/>
    </row>
    <row r="41" spans="1:14" s="26" customFormat="1" ht="18.5">
      <c r="A41" s="21" t="s">
        <v>0</v>
      </c>
      <c r="B41" s="22">
        <f>C41</f>
        <v>46170.769533333332</v>
      </c>
      <c r="C41" s="23">
        <f>C2+D2</f>
        <v>46170.769533333332</v>
      </c>
      <c r="D41" s="24" t="s">
        <v>1</v>
      </c>
      <c r="E41" s="25" t="s">
        <v>2</v>
      </c>
      <c r="F41" s="25" t="s">
        <v>3</v>
      </c>
      <c r="G41" s="34" t="s">
        <v>4</v>
      </c>
      <c r="H41" s="25" t="s">
        <v>5</v>
      </c>
      <c r="I41" s="25" t="s">
        <v>6</v>
      </c>
      <c r="J41" s="25" t="s">
        <v>7</v>
      </c>
      <c r="K41" s="34" t="s">
        <v>8</v>
      </c>
      <c r="L41" s="34" t="s">
        <v>9</v>
      </c>
    </row>
    <row r="42" spans="1:14" s="26" customFormat="1" ht="18.5" hidden="1">
      <c r="A42" s="27" t="s">
        <v>10</v>
      </c>
      <c r="B42" s="21">
        <f>B44 - B43 +B41</f>
        <v>2461189.2702762038</v>
      </c>
      <c r="C42" s="26" t="s">
        <v>11</v>
      </c>
      <c r="D42" s="28">
        <f>IF(D45&lt;360, ROUNDDOWN(D45/15,0), ROUNDDOWN(D45/15,0) - 24)</f>
        <v>4</v>
      </c>
      <c r="E42" s="28">
        <f>IF(E45&lt;360, ROUNDDOWN(E45/15,0), ROUNDDOWN(E45/15,0) - 24)</f>
        <v>5</v>
      </c>
      <c r="F42" s="28">
        <f>IF(F45&lt;360, ROUNDDOWN(F45/15,0), ROUNDDOWN(F45/15,0) - 24)</f>
        <v>6</v>
      </c>
      <c r="G42" s="28"/>
      <c r="H42" s="28">
        <f>IF(H45&lt;360, ROUNDDOWN(H45/15,0), ROUNDDOWN(H45/15,0) - 24)</f>
        <v>2</v>
      </c>
      <c r="I42" s="28">
        <f>IF(I45&lt;360, ROUNDDOWN(I45/15,0), ROUNDDOWN(I45/15,0) - 24)</f>
        <v>7</v>
      </c>
      <c r="J42" s="28">
        <f>IF(J45&lt;360, ROUNDDOWN(J45/15,0), ROUNDDOWN(J45/15,0) - 24)</f>
        <v>0</v>
      </c>
      <c r="K42" s="35">
        <f>IF(K45&lt;360, ROUNDDOWN(K45/15,0), ROUNDDOWN(K45/15,0) - 24)</f>
        <v>3</v>
      </c>
      <c r="L42" s="35">
        <f>IF(L45&lt;360, ROUNDDOWN(L45/15,0), ROUNDDOWN(L45/15,0) - 24)</f>
        <v>0</v>
      </c>
    </row>
    <row r="43" spans="1:14" s="26" customFormat="1" ht="18.5" hidden="1">
      <c r="A43" s="29" t="s">
        <v>0</v>
      </c>
      <c r="B43" s="30">
        <v>36526.499257129632</v>
      </c>
      <c r="D43" s="28">
        <f t="shared" ref="D43:L43" si="0">ROUNDDOWN(60*(D45/15- ROUNDDOWN(D45/15,0)),0)</f>
        <v>21</v>
      </c>
      <c r="E43" s="28">
        <f t="shared" si="0"/>
        <v>29</v>
      </c>
      <c r="F43" s="28">
        <f t="shared" si="0"/>
        <v>49</v>
      </c>
      <c r="G43" s="28"/>
      <c r="H43" s="28">
        <f t="shared" si="0"/>
        <v>19</v>
      </c>
      <c r="I43" s="28">
        <f t="shared" si="0"/>
        <v>40</v>
      </c>
      <c r="J43" s="28">
        <f t="shared" si="0"/>
        <v>46</v>
      </c>
      <c r="K43" s="35">
        <f t="shared" si="0"/>
        <v>57</v>
      </c>
      <c r="L43" s="35">
        <f t="shared" si="0"/>
        <v>15</v>
      </c>
    </row>
    <row r="44" spans="1:14" s="26" customFormat="1" ht="18.5" hidden="1">
      <c r="A44" s="27" t="s">
        <v>10</v>
      </c>
      <c r="B44" s="27">
        <v>2451545</v>
      </c>
      <c r="D44" s="28">
        <f t="shared" ref="D44:L44" si="1">60*(60*(D45/15- ROUNDDOWN(D45/15,0)) - ROUNDDOWN(60*(D45/15- ROUNDDOWN(D45/15,0)),0))</f>
        <v>1.8013082710572093</v>
      </c>
      <c r="E44" s="28">
        <f t="shared" si="1"/>
        <v>3.2457610743846033</v>
      </c>
      <c r="F44" s="28">
        <f t="shared" si="1"/>
        <v>27.399794439649838</v>
      </c>
      <c r="G44" s="28"/>
      <c r="H44" s="28">
        <f t="shared" si="1"/>
        <v>29.283207331018986</v>
      </c>
      <c r="I44" s="28">
        <f t="shared" si="1"/>
        <v>3.4710788733414688</v>
      </c>
      <c r="J44" s="28">
        <f t="shared" si="1"/>
        <v>26.763401504090325</v>
      </c>
      <c r="K44" s="35">
        <f t="shared" si="1"/>
        <v>44.12144198906276</v>
      </c>
      <c r="L44" s="35">
        <f t="shared" si="1"/>
        <v>24.841478669534105</v>
      </c>
    </row>
    <row r="45" spans="1:14" s="26" customFormat="1" ht="18.5" hidden="1">
      <c r="A45" s="21" t="s">
        <v>12</v>
      </c>
      <c r="B45" s="21">
        <f>(B42 - B44)/36525</f>
        <v>0.26404572967019169</v>
      </c>
      <c r="C45" s="26" t="s">
        <v>13</v>
      </c>
      <c r="D45" s="31">
        <f>IF(DEGREES(ATAN2(D105,D106)) &gt; 0,DEGREES(ATAN2(D105,D106)), DEGREES(ATAN2(D105,D106)) + 360)</f>
        <v>65.257505451129404</v>
      </c>
      <c r="E45" s="31">
        <f>IF(DEGREES(ATAN2(E105,E106)) &gt; 0,DEGREES(ATAN2(E105,E106)), DEGREES(ATAN2(E105,E106)) + 360)</f>
        <v>82.263524004476608</v>
      </c>
      <c r="F45" s="31">
        <f>IF(DEGREES(ATAN2(F105,F106)) &gt; 0,DEGREES(ATAN2(F105,F106)), DEGREES(ATAN2(F105,F106)) + 360)</f>
        <v>102.3641658101652</v>
      </c>
      <c r="G45" s="31"/>
      <c r="H45" s="31">
        <f>IF(DEGREES(ATAN2(H105,H106)) &gt; 0,DEGREES(ATAN2(H105,H106)), DEGREES(ATAN2(H105,H106)) + 360)</f>
        <v>34.872013363879248</v>
      </c>
      <c r="I45" s="31">
        <f>IF(DEGREES(ATAN2(I105,I106)) &gt; 0,DEGREES(ATAN2(I105,I106)), DEGREES(ATAN2(I105,I106)) + 360)</f>
        <v>115.01446282863893</v>
      </c>
      <c r="J45" s="31">
        <f>IF(DEGREES(ATAN2(J105,J106)) &gt; 0,DEGREES(ATAN2(J105,J106)), DEGREES(ATAN2(J105,J106)) + 360)</f>
        <v>11.61151417293371</v>
      </c>
      <c r="K45" s="36">
        <f>IF(DEGREES(ATAN2(K105,K106)) &gt; 0,DEGREES(ATAN2(K105,K106)), DEGREES(ATAN2(K105,K106)) + 360)</f>
        <v>59.433839341621095</v>
      </c>
      <c r="L45" s="36">
        <f>IF(DEGREES(ATAN2(L105,L106)) &gt; 0,DEGREES(ATAN2(L105,L106)), DEGREES(ATAN2(L105,L106)) + 360)</f>
        <v>3.8535061611230583</v>
      </c>
    </row>
    <row r="46" spans="1:14" s="26" customFormat="1" ht="18.5">
      <c r="A46" s="27" t="s">
        <v>14</v>
      </c>
      <c r="B46" s="27">
        <f>DEGREES((SIN(RADIANS(($D45 + 360*(($B41 - ROUNDDOWN($B41,0)) - 0.25))))/ABS(SIN(RADIANS(($D45 + 360*(($B41 - ROUNDDOWN($B41,0)) - 0.25))))))*(ACOS(COS(RADIANS(($D45 + 360*(($B41 - ROUNDDOWN($B41,0)) - 0.25)))))))</f>
        <v>-107.71049454927152</v>
      </c>
      <c r="C46" s="38" t="s">
        <v>60</v>
      </c>
      <c r="D46" s="31">
        <f>DEGREES((SIN(RADIANS($B46 - D45))/ABS(SIN(RADIANS($B46 - D45))))*(ACOS(COS(RADIANS($B46 - D45)))))</f>
        <v>-172.96800000040085</v>
      </c>
      <c r="E46" s="31">
        <f>DEGREES((SIN(RADIANS($B46 - E45))/ABS(SIN(RADIANS($B46 - E45))))*(ACOS(COS(RADIANS($B46 - E45)))))</f>
        <v>170.0259814462519</v>
      </c>
      <c r="F46" s="31">
        <f>DEGREES((SIN(RADIANS($B46 - F45))/ABS(SIN(RADIANS($B46 - F45))))*(ACOS(COS(RADIANS($B46 - F45)))))</f>
        <v>149.92533964056327</v>
      </c>
      <c r="G46" s="31"/>
      <c r="H46" s="31">
        <f>DEGREES((SIN(RADIANS($B46 - H45))/ABS(SIN(RADIANS($B46 - H45))))*(ACOS(COS(RADIANS($B46 - H45)))))</f>
        <v>-142.58250791315078</v>
      </c>
      <c r="I46" s="31">
        <f>DEGREES((SIN(RADIANS($B46 - I45))/ABS(SIN(RADIANS($B46 - I45))))*(ACOS(COS(RADIANS($B46 - I45)))))</f>
        <v>137.27504262208959</v>
      </c>
      <c r="J46" s="31">
        <f>DEGREES((SIN(RADIANS($B46 - J45))/ABS(SIN(RADIANS($B46 - J45))))*(ACOS(COS(RADIANS($B46 - J45)))))</f>
        <v>-119.32200872220523</v>
      </c>
      <c r="K46" s="36">
        <f>DEGREES((SIN(RADIANS($B46 - K45))/ABS(SIN(RADIANS($B46 - K45))))*(ACOS(COS(RADIANS($B46 - K45)))))</f>
        <v>-167.14433389089263</v>
      </c>
      <c r="L46" s="36">
        <f>DEGREES((SIN(RADIANS($B46 - L45))/ABS(SIN(RADIANS($B46 - L45))))*(ACOS(COS(RADIANS($B46 - L45)))))</f>
        <v>-111.56400071039458</v>
      </c>
    </row>
    <row r="47" spans="1:14" s="26" customFormat="1" ht="18.5" hidden="1">
      <c r="C47" s="26" t="s">
        <v>15</v>
      </c>
      <c r="D47" s="31">
        <f>D45 - $D45</f>
        <v>0</v>
      </c>
      <c r="E47" s="31">
        <f>E45 - $D45</f>
        <v>17.006018553347204</v>
      </c>
      <c r="F47" s="31">
        <f>F45 - $D45</f>
        <v>37.1066603590358</v>
      </c>
      <c r="G47" s="31"/>
      <c r="H47" s="31">
        <f>H45 - $D45</f>
        <v>-30.385492087250157</v>
      </c>
      <c r="I47" s="31">
        <f>I45 - $D45</f>
        <v>49.756957377509522</v>
      </c>
      <c r="J47" s="31">
        <f>J45 - $D45</f>
        <v>-53.645991278195694</v>
      </c>
      <c r="K47" s="36">
        <f>K45 - $D45</f>
        <v>-5.8236661095083093</v>
      </c>
      <c r="L47" s="36">
        <f>L45 - $D45</f>
        <v>-61.403999290006347</v>
      </c>
    </row>
    <row r="48" spans="1:14" s="26" customFormat="1" ht="18.5">
      <c r="A48" s="32"/>
      <c r="B48" s="32"/>
      <c r="C48" s="26" t="s">
        <v>16</v>
      </c>
      <c r="D48" s="33">
        <f>IF(($C41 - ROUND($C41,0)) - D46/360  &gt;0,($C41 - ROUND($C41,0)) - D46/360, ($C41 - ROUND($C41,0)) - D46/360+1)</f>
        <v>0.24999999999999978</v>
      </c>
      <c r="E48" s="33">
        <f>IF(($C41 - ROUND($C41,0)) - E46/360  &gt;0,($C41 - ROUND($C41,0)) - E46/360, ($C41 - ROUND($C41,0)) - E46/360+1)</f>
        <v>0.29723894042596433</v>
      </c>
      <c r="F48" s="33">
        <f>IF(($C41 - ROUND($C41,0)) - F46/360  &gt;0,($C41 - ROUND($C41,0)) - F46/360, ($C41 - ROUND($C41,0)) - F46/360+1)</f>
        <v>0.35307405655287716</v>
      </c>
      <c r="G48" s="33"/>
      <c r="H48" s="33">
        <f>IF(($C41 - ROUND($C41,0)) - H46/360  &gt;0,($C41 - ROUND($C41,0)) - H46/360, ($C41 - ROUND($C41,0)) - H46/360+1)</f>
        <v>0.16559585531319398</v>
      </c>
      <c r="I48" s="33">
        <f>IF(($C41 - ROUND($C41,0)) - I46/360  &gt;0,($C41 - ROUND($C41,0)) - I46/360, ($C41 - ROUND($C41,0)) - I46/360+1)</f>
        <v>0.38821377049308192</v>
      </c>
      <c r="J48" s="33">
        <f>IF(($C41 - ROUND($C41,0)) - J46/360  &gt;0,($C41 - ROUND($C41,0)) - J46/360, ($C41 - ROUND($C41,0)) - J46/360+1)</f>
        <v>0.10098335756056748</v>
      </c>
      <c r="K48" s="37">
        <f>IF(($C41 - ROUND($C41,0)) - K46/360  &gt;0,($C41 - ROUND($C41,0)) - K46/360, ($C41 - ROUND($C41,0)) - K46/360+1)</f>
        <v>0.23382314969581025</v>
      </c>
      <c r="L48" s="37">
        <f>IF(($C41 - ROUND($C41,0)) - L46/360  &gt;0,($C41 - ROUND($C41,0)) - L46/360, ($C41 - ROUND($C41,0)) - L46/360+1)</f>
        <v>7.9433335305537922E-2</v>
      </c>
    </row>
    <row r="49" spans="1:12" s="26" customFormat="1" ht="18.5">
      <c r="A49" s="32"/>
      <c r="B49" s="32"/>
      <c r="C49" s="26" t="s">
        <v>17</v>
      </c>
      <c r="D49" s="33">
        <f>D48+0.5</f>
        <v>0.74999999999999978</v>
      </c>
      <c r="E49" s="33">
        <f>E48+0.5</f>
        <v>0.79723894042596433</v>
      </c>
      <c r="F49" s="33">
        <f>F48+0.5</f>
        <v>0.85307405655287716</v>
      </c>
      <c r="G49" s="25"/>
      <c r="H49" s="33">
        <f>H48+0.5</f>
        <v>0.66559585531319398</v>
      </c>
      <c r="I49" s="33">
        <f>I48+0.5</f>
        <v>0.88821377049308192</v>
      </c>
      <c r="J49" s="33">
        <f>J48+0.5</f>
        <v>0.60098335756056742</v>
      </c>
      <c r="K49" s="37">
        <f>K48+0.5</f>
        <v>0.73382314969581031</v>
      </c>
      <c r="L49" s="37">
        <f>L48+0.5</f>
        <v>0.57943333530553787</v>
      </c>
    </row>
    <row r="50" spans="1:12" s="19" customFormat="1">
      <c r="A50" s="18"/>
      <c r="B50" s="18"/>
      <c r="C50" s="19" t="s">
        <v>58</v>
      </c>
      <c r="D50" s="20">
        <f>COS(2*PI()*D46/360)</f>
        <v>-0.99247793216254587</v>
      </c>
      <c r="E50" s="20">
        <f>COS(2*PI()*E46/360)</f>
        <v>-0.98488639456969362</v>
      </c>
      <c r="F50" s="20">
        <f>COS(2*PI()*F46/360)</f>
        <v>-0.86537313417164796</v>
      </c>
      <c r="G50" s="20"/>
      <c r="H50" s="20">
        <f>COS(2*PI()*H46/360)</f>
        <v>-0.79422915500819402</v>
      </c>
      <c r="I50" s="20">
        <f>COS(2*PI()*I46/360)</f>
        <v>-0.73461912694175047</v>
      </c>
      <c r="J50" s="20">
        <f>COS(2*PI()*J46/360)</f>
        <v>-0.48971739895454602</v>
      </c>
      <c r="K50" s="20">
        <f>COS(2*PI()*K46/360)</f>
        <v>-0.97493364713823816</v>
      </c>
      <c r="L50" s="20">
        <f>COS(2*PI()*L46/360)</f>
        <v>-0.36754029579364328</v>
      </c>
    </row>
    <row r="51" spans="1:12" s="19" customFormat="1">
      <c r="A51" s="18"/>
      <c r="B51" s="18"/>
      <c r="C51" s="19" t="s">
        <v>59</v>
      </c>
      <c r="D51" s="20">
        <f>SIN(2*PI()*D46/360)</f>
        <v>-0.1224236667085129</v>
      </c>
      <c r="E51" s="20">
        <f>SIN(2*PI()*E46/360)</f>
        <v>0.17320158715066603</v>
      </c>
      <c r="F51" s="20">
        <f>SIN(2*PI()*F46/360)</f>
        <v>0.50112806612076621</v>
      </c>
      <c r="G51" s="20"/>
      <c r="H51" s="20">
        <f>SIN(2*PI()*H46/360)</f>
        <v>-0.6076183418355392</v>
      </c>
      <c r="I51" s="20">
        <f>SIN(2*PI()*I46/360)</f>
        <v>0.67847972580714622</v>
      </c>
      <c r="J51" s="20">
        <f>SIN(2*PI()*J46/360)</f>
        <v>-0.87188122422793002</v>
      </c>
      <c r="K51" s="20">
        <f>SIN(2*PI()*K46/360)</f>
        <v>-0.22249580597785074</v>
      </c>
      <c r="L51" s="20">
        <f>SIN(2*PI()*L46/360)</f>
        <v>-0.93000759726354987</v>
      </c>
    </row>
    <row r="52" spans="1:12" s="10" customFormat="1">
      <c r="A52" s="9"/>
      <c r="B52" s="9"/>
      <c r="D52" s="9"/>
      <c r="E52" s="9"/>
      <c r="F52" s="9"/>
      <c r="G52" s="9"/>
      <c r="H52" s="9"/>
      <c r="I52" s="9"/>
      <c r="J52" s="9"/>
      <c r="K52" s="9"/>
      <c r="L52" s="9"/>
    </row>
    <row r="53" spans="1:12" s="10" customFormat="1" hidden="1">
      <c r="C53" s="10" t="s">
        <v>18</v>
      </c>
      <c r="D53" s="10" t="s">
        <v>1</v>
      </c>
      <c r="E53" s="11" t="s">
        <v>2</v>
      </c>
      <c r="F53" s="11" t="s">
        <v>3</v>
      </c>
      <c r="G53" s="11" t="s">
        <v>4</v>
      </c>
      <c r="H53" s="11" t="s">
        <v>5</v>
      </c>
      <c r="I53" s="11" t="s">
        <v>6</v>
      </c>
      <c r="J53" s="11" t="s">
        <v>7</v>
      </c>
      <c r="K53" s="11" t="s">
        <v>8</v>
      </c>
      <c r="L53" s="11" t="s">
        <v>9</v>
      </c>
    </row>
    <row r="54" spans="1:12" s="10" customFormat="1" hidden="1">
      <c r="A54" s="13"/>
      <c r="B54" s="13"/>
      <c r="C54" s="14" t="s">
        <v>19</v>
      </c>
      <c r="D54" s="14"/>
      <c r="E54" s="11">
        <v>87.989893250578689</v>
      </c>
      <c r="F54" s="11">
        <v>224.70023735821758</v>
      </c>
      <c r="G54" s="11">
        <v>365.25636574074099</v>
      </c>
      <c r="H54" s="11">
        <v>686.98147781249986</v>
      </c>
      <c r="I54" s="11">
        <v>4332.4153309606481</v>
      </c>
      <c r="J54" s="11">
        <v>10759.283714351852</v>
      </c>
      <c r="K54" s="11">
        <v>30684.493298784721</v>
      </c>
      <c r="L54" s="11">
        <v>60188.404972222212</v>
      </c>
    </row>
    <row r="55" spans="1:12" s="10" customFormat="1" hidden="1">
      <c r="B55" s="12" t="s">
        <v>20</v>
      </c>
      <c r="C55" s="10" t="s">
        <v>21</v>
      </c>
      <c r="E55" s="11">
        <v>0.38709927</v>
      </c>
      <c r="F55" s="11">
        <v>0.72333566000000005</v>
      </c>
      <c r="G55" s="11">
        <v>1.0000026099999999</v>
      </c>
      <c r="H55" s="11">
        <v>1.5237103400000001</v>
      </c>
      <c r="I55" s="11">
        <v>5.2028869999999996</v>
      </c>
      <c r="J55" s="11">
        <v>9.5366759400000003</v>
      </c>
      <c r="K55" s="11">
        <v>19.189164640000001</v>
      </c>
      <c r="L55" s="11">
        <v>30.069922760000001</v>
      </c>
    </row>
    <row r="56" spans="1:12" s="10" customFormat="1" hidden="1">
      <c r="B56" s="12"/>
      <c r="C56" s="10" t="s">
        <v>22</v>
      </c>
      <c r="E56" s="11">
        <v>0.20563592999999999</v>
      </c>
      <c r="F56" s="11">
        <v>6.77672E-3</v>
      </c>
      <c r="G56" s="11">
        <v>1.6711230000000001E-2</v>
      </c>
      <c r="H56" s="11">
        <v>9.3394099999999994E-2</v>
      </c>
      <c r="I56" s="11">
        <v>4.8386239999999997E-2</v>
      </c>
      <c r="J56" s="11">
        <v>5.386179E-2</v>
      </c>
      <c r="K56" s="11">
        <v>4.7257439999999998E-2</v>
      </c>
      <c r="L56" s="11">
        <v>8.5904799999999993E-3</v>
      </c>
    </row>
    <row r="57" spans="1:12" s="10" customFormat="1" hidden="1">
      <c r="B57" s="12"/>
      <c r="C57" s="10" t="s">
        <v>23</v>
      </c>
      <c r="E57" s="11">
        <v>7.0049790200000004</v>
      </c>
      <c r="F57" s="11">
        <v>3.3946760500000002</v>
      </c>
      <c r="G57" s="11">
        <v>-1.5310000000000001E-5</v>
      </c>
      <c r="H57" s="11">
        <v>1.8496914200000001</v>
      </c>
      <c r="I57" s="11">
        <v>1.3043969500000001</v>
      </c>
      <c r="J57" s="11">
        <v>2.4859918699999999</v>
      </c>
      <c r="K57" s="11">
        <v>0.77263782999999997</v>
      </c>
      <c r="L57" s="11">
        <v>1.7700434700000001</v>
      </c>
    </row>
    <row r="58" spans="1:12" s="10" customFormat="1" hidden="1">
      <c r="B58" s="12"/>
      <c r="C58" s="10" t="s">
        <v>24</v>
      </c>
      <c r="E58" s="11">
        <v>252.25032350000001</v>
      </c>
      <c r="F58" s="11">
        <v>181.97909949999999</v>
      </c>
      <c r="G58" s="11">
        <v>100.46457166</v>
      </c>
      <c r="H58" s="11">
        <v>-4.5534320499999996</v>
      </c>
      <c r="I58" s="11">
        <v>34.396440509999998</v>
      </c>
      <c r="J58" s="11">
        <v>49.95424423</v>
      </c>
      <c r="K58" s="11">
        <v>313.23810451000003</v>
      </c>
      <c r="L58" s="11">
        <v>-55.120029690000003</v>
      </c>
    </row>
    <row r="59" spans="1:12" s="10" customFormat="1" hidden="1">
      <c r="B59" s="12"/>
      <c r="C59" s="10" t="s">
        <v>25</v>
      </c>
      <c r="E59" s="11">
        <v>77.457796279999997</v>
      </c>
      <c r="F59" s="11">
        <v>131.60246717999999</v>
      </c>
      <c r="G59" s="11">
        <v>102.93768193</v>
      </c>
      <c r="H59" s="11">
        <v>-23.94362959</v>
      </c>
      <c r="I59" s="11">
        <v>14.728479829999999</v>
      </c>
      <c r="J59" s="11">
        <v>92.598878310000003</v>
      </c>
      <c r="K59" s="11">
        <v>170.9542763</v>
      </c>
      <c r="L59" s="11">
        <v>44.964762270000001</v>
      </c>
    </row>
    <row r="60" spans="1:12" s="10" customFormat="1" hidden="1">
      <c r="B60" s="12"/>
      <c r="C60" s="10" t="s">
        <v>26</v>
      </c>
      <c r="D60" s="10" t="s">
        <v>27</v>
      </c>
      <c r="E60" s="11">
        <v>48.330765929999998</v>
      </c>
      <c r="F60" s="11">
        <v>76.679842550000004</v>
      </c>
      <c r="G60" s="11">
        <v>0</v>
      </c>
      <c r="H60" s="11">
        <v>49.559538910000001</v>
      </c>
      <c r="I60" s="11">
        <v>100.47390909000001</v>
      </c>
      <c r="J60" s="11">
        <v>113.66242448</v>
      </c>
      <c r="K60" s="11">
        <v>74.016925029999996</v>
      </c>
      <c r="L60" s="11">
        <v>131.78422574000001</v>
      </c>
    </row>
    <row r="61" spans="1:12" s="10" customFormat="1" hidden="1">
      <c r="B61" s="12" t="s">
        <v>28</v>
      </c>
      <c r="C61" s="10" t="s">
        <v>21</v>
      </c>
      <c r="E61" s="11">
        <v>3.7E-7</v>
      </c>
      <c r="F61" s="11">
        <v>3.8999999999999999E-6</v>
      </c>
      <c r="G61" s="11">
        <v>5.6200000000000004E-6</v>
      </c>
      <c r="H61" s="11">
        <v>1.8470000000000001E-5</v>
      </c>
      <c r="I61" s="11">
        <v>-1.1607000000000001E-4</v>
      </c>
      <c r="J61" s="11">
        <v>-1.2505999999999999E-3</v>
      </c>
      <c r="K61" s="11">
        <v>-1.9617599999999999E-3</v>
      </c>
      <c r="L61" s="11">
        <v>2.6290999999999999E-4</v>
      </c>
    </row>
    <row r="62" spans="1:12" s="10" customFormat="1" hidden="1">
      <c r="B62" s="12"/>
      <c r="C62" s="10" t="s">
        <v>22</v>
      </c>
      <c r="E62" s="11">
        <v>1.906E-5</v>
      </c>
      <c r="F62" s="11">
        <v>-4.1069999999999998E-5</v>
      </c>
      <c r="G62" s="11">
        <v>-4.392E-5</v>
      </c>
      <c r="H62" s="11">
        <v>7.8819999999999994E-5</v>
      </c>
      <c r="I62" s="11">
        <v>-1.3253000000000001E-4</v>
      </c>
      <c r="J62" s="11">
        <v>-5.0991000000000003E-4</v>
      </c>
      <c r="K62" s="11">
        <v>-4.3970000000000001E-5</v>
      </c>
      <c r="L62" s="11">
        <v>5.1050000000000001E-5</v>
      </c>
    </row>
    <row r="63" spans="1:12" s="10" customFormat="1" hidden="1">
      <c r="B63" s="12"/>
      <c r="C63" s="10" t="s">
        <v>23</v>
      </c>
      <c r="E63" s="11">
        <v>-5.9474899999999997E-3</v>
      </c>
      <c r="F63" s="11">
        <v>-7.8890000000000004E-4</v>
      </c>
      <c r="G63" s="11">
        <v>-1.294668E-2</v>
      </c>
      <c r="H63" s="11">
        <v>-8.1313099999999992E-3</v>
      </c>
      <c r="I63" s="11">
        <v>-1.8371399999999999E-3</v>
      </c>
      <c r="J63" s="11">
        <v>1.9360899999999999E-3</v>
      </c>
      <c r="K63" s="11">
        <v>-2.42939E-3</v>
      </c>
      <c r="L63" s="11">
        <v>3.5372000000000002E-4</v>
      </c>
    </row>
    <row r="64" spans="1:12" s="10" customFormat="1" hidden="1">
      <c r="B64" s="12"/>
      <c r="C64" s="10" t="s">
        <v>24</v>
      </c>
      <c r="E64" s="11">
        <v>149472.67411175001</v>
      </c>
      <c r="F64" s="11">
        <v>58517.81538729</v>
      </c>
      <c r="G64" s="11">
        <v>35999.372449809998</v>
      </c>
      <c r="H64" s="11">
        <v>19140.302684990002</v>
      </c>
      <c r="I64" s="11">
        <v>3034.7461277500001</v>
      </c>
      <c r="J64" s="11">
        <v>1222.4936220100001</v>
      </c>
      <c r="K64" s="11">
        <v>428.48202785000001</v>
      </c>
      <c r="L64" s="11">
        <v>218.45945325</v>
      </c>
    </row>
    <row r="65" spans="1:12" s="10" customFormat="1" hidden="1">
      <c r="B65" s="12"/>
      <c r="C65" s="10" t="s">
        <v>25</v>
      </c>
      <c r="E65" s="11">
        <v>0.16047689000000001</v>
      </c>
      <c r="F65" s="11">
        <v>2.6832900000000001E-3</v>
      </c>
      <c r="G65" s="11">
        <v>0.32327363999999997</v>
      </c>
      <c r="H65" s="11">
        <v>0.44441088000000001</v>
      </c>
      <c r="I65" s="11">
        <v>0.21252668</v>
      </c>
      <c r="J65" s="11">
        <v>-0.41897215999999998</v>
      </c>
      <c r="K65" s="11">
        <v>0.40805280999999999</v>
      </c>
      <c r="L65" s="11">
        <v>-0.32241463999999997</v>
      </c>
    </row>
    <row r="66" spans="1:12" s="10" customFormat="1" hidden="1">
      <c r="B66" s="12"/>
      <c r="C66" s="10" t="s">
        <v>26</v>
      </c>
      <c r="D66" s="10" t="s">
        <v>27</v>
      </c>
      <c r="E66" s="11">
        <v>-0.12534091</v>
      </c>
      <c r="F66" s="11">
        <v>-0.27769418000000001</v>
      </c>
      <c r="G66" s="11">
        <v>0</v>
      </c>
      <c r="H66" s="11">
        <v>-0.29257343000000002</v>
      </c>
      <c r="I66" s="11">
        <v>0.20469106000000001</v>
      </c>
      <c r="J66" s="11">
        <v>-0.28867794000000002</v>
      </c>
      <c r="K66" s="11">
        <v>4.2405890000000002E-2</v>
      </c>
      <c r="L66" s="11">
        <v>-5.0866399999999999E-3</v>
      </c>
    </row>
    <row r="67" spans="1:12" s="10" customFormat="1" hidden="1">
      <c r="B67" s="12" t="s">
        <v>29</v>
      </c>
      <c r="C67" s="10" t="s">
        <v>21</v>
      </c>
      <c r="E67" s="11">
        <f t="shared" ref="E67:L72" si="2">E55 + E61*$B$45</f>
        <v>0.38709936769691999</v>
      </c>
      <c r="F67" s="11">
        <f t="shared" si="2"/>
        <v>0.72333668977834575</v>
      </c>
      <c r="G67" s="11">
        <f t="shared" si="2"/>
        <v>1.0000040939370007</v>
      </c>
      <c r="H67" s="11">
        <f t="shared" si="2"/>
        <v>1.5237152169246271</v>
      </c>
      <c r="I67" s="11">
        <f t="shared" si="2"/>
        <v>5.2028563522121569</v>
      </c>
      <c r="J67" s="11">
        <f t="shared" si="2"/>
        <v>9.5363457244104755</v>
      </c>
      <c r="K67" s="11">
        <f t="shared" si="2"/>
        <v>19.188646645649364</v>
      </c>
      <c r="L67" s="11">
        <f t="shared" si="2"/>
        <v>30.069992180262787</v>
      </c>
    </row>
    <row r="68" spans="1:12" s="10" customFormat="1" hidden="1">
      <c r="A68" s="15"/>
      <c r="B68" s="12"/>
      <c r="C68" s="10" t="s">
        <v>22</v>
      </c>
      <c r="E68" s="11">
        <f t="shared" si="2"/>
        <v>0.20564096271160751</v>
      </c>
      <c r="F68" s="11">
        <f t="shared" si="2"/>
        <v>6.765875641882445E-3</v>
      </c>
      <c r="G68" s="11">
        <f t="shared" si="2"/>
        <v>1.6699633111552887E-2</v>
      </c>
      <c r="H68" s="11">
        <f t="shared" si="2"/>
        <v>9.3414912084412605E-2</v>
      </c>
      <c r="I68" s="11">
        <f t="shared" si="2"/>
        <v>4.8351246019446806E-2</v>
      </c>
      <c r="J68" s="11">
        <f t="shared" si="2"/>
        <v>5.3727150441983874E-2</v>
      </c>
      <c r="K68" s="11">
        <f t="shared" si="2"/>
        <v>4.7245829909266401E-2</v>
      </c>
      <c r="L68" s="11">
        <f t="shared" si="2"/>
        <v>8.6039595344996628E-3</v>
      </c>
    </row>
    <row r="69" spans="1:12" s="10" customFormat="1" hidden="1">
      <c r="A69" s="15"/>
      <c r="B69" s="12"/>
      <c r="C69" s="10" t="s">
        <v>23</v>
      </c>
      <c r="E69" s="11">
        <f t="shared" si="2"/>
        <v>7.0034086106632438</v>
      </c>
      <c r="F69" s="11">
        <f t="shared" si="2"/>
        <v>3.3944677443238636</v>
      </c>
      <c r="G69" s="11">
        <f t="shared" si="2"/>
        <v>-3.4338255674064774E-3</v>
      </c>
      <c r="H69" s="11">
        <f t="shared" si="2"/>
        <v>1.8475443823178757</v>
      </c>
      <c r="I69" s="11">
        <f t="shared" si="2"/>
        <v>1.3039118610281939</v>
      </c>
      <c r="J69" s="11">
        <f t="shared" si="2"/>
        <v>2.4865030862967572</v>
      </c>
      <c r="K69" s="11">
        <f t="shared" si="2"/>
        <v>0.77199635994479654</v>
      </c>
      <c r="L69" s="11">
        <f t="shared" si="2"/>
        <v>1.770136868255499</v>
      </c>
    </row>
    <row r="70" spans="1:12" s="10" customFormat="1" hidden="1">
      <c r="A70" s="15"/>
      <c r="B70" s="12"/>
      <c r="C70" s="10" t="s">
        <v>24</v>
      </c>
      <c r="E70" s="11">
        <f t="shared" si="2"/>
        <v>39719.871625091801</v>
      </c>
      <c r="F70" s="11">
        <f t="shared" si="2"/>
        <v>15633.358362142559</v>
      </c>
      <c r="G70" s="11">
        <f t="shared" si="2"/>
        <v>9605.9451378390786</v>
      </c>
      <c r="H70" s="11">
        <f t="shared" si="2"/>
        <v>5049.3617565165141</v>
      </c>
      <c r="I70" s="11">
        <f t="shared" si="2"/>
        <v>835.70819617553764</v>
      </c>
      <c r="J70" s="11">
        <f t="shared" si="2"/>
        <v>372.74846467078601</v>
      </c>
      <c r="K70" s="11">
        <f t="shared" si="2"/>
        <v>426.37695420421664</v>
      </c>
      <c r="L70" s="11">
        <f t="shared" si="2"/>
        <v>2.5632560467473766</v>
      </c>
    </row>
    <row r="71" spans="1:12" s="10" customFormat="1" hidden="1">
      <c r="A71" s="15"/>
      <c r="B71" s="12"/>
      <c r="C71" s="10" t="s">
        <v>25</v>
      </c>
      <c r="E71" s="11">
        <f t="shared" si="2"/>
        <v>77.500169517515246</v>
      </c>
      <c r="F71" s="11">
        <f t="shared" si="2"/>
        <v>131.60317569126596</v>
      </c>
      <c r="G71" s="11">
        <f t="shared" si="2"/>
        <v>103.02304095415694</v>
      </c>
      <c r="H71" s="11">
        <f t="shared" si="2"/>
        <v>-23.826284794917029</v>
      </c>
      <c r="I71" s="11">
        <f t="shared" si="2"/>
        <v>14.784596592294983</v>
      </c>
      <c r="J71" s="11">
        <f t="shared" si="2"/>
        <v>92.488250500301305</v>
      </c>
      <c r="K71" s="11">
        <f t="shared" si="2"/>
        <v>171.06202090196044</v>
      </c>
      <c r="L71" s="11">
        <f t="shared" si="2"/>
        <v>44.87963006112485</v>
      </c>
    </row>
    <row r="72" spans="1:12" s="10" customFormat="1" hidden="1">
      <c r="B72" s="12"/>
      <c r="C72" s="10" t="s">
        <v>26</v>
      </c>
      <c r="D72" s="10" t="s">
        <v>27</v>
      </c>
      <c r="E72" s="11">
        <f t="shared" si="2"/>
        <v>48.297670197961523</v>
      </c>
      <c r="F72" s="11">
        <f t="shared" si="2"/>
        <v>76.606518587616733</v>
      </c>
      <c r="G72" s="11">
        <f t="shared" si="2"/>
        <v>0</v>
      </c>
      <c r="H72" s="11">
        <f t="shared" si="2"/>
        <v>49.482286145193541</v>
      </c>
      <c r="I72" s="11">
        <f t="shared" si="2"/>
        <v>100.52795689029467</v>
      </c>
      <c r="J72" s="11">
        <f t="shared" si="2"/>
        <v>113.58620030269302</v>
      </c>
      <c r="K72" s="11">
        <f t="shared" si="2"/>
        <v>74.028122124167353</v>
      </c>
      <c r="L72" s="11">
        <f t="shared" si="2"/>
        <v>131.78288263442965</v>
      </c>
    </row>
    <row r="73" spans="1:12" s="10" customFormat="1" hidden="1">
      <c r="B73" s="12" t="s">
        <v>30</v>
      </c>
      <c r="C73" s="10" t="s">
        <v>21</v>
      </c>
      <c r="E73" s="11">
        <f>E67</f>
        <v>0.38709936769691999</v>
      </c>
      <c r="F73" s="11">
        <f t="shared" ref="F73:L73" si="3">F67</f>
        <v>0.72333668977834575</v>
      </c>
      <c r="G73" s="11">
        <f t="shared" si="3"/>
        <v>1.0000040939370007</v>
      </c>
      <c r="H73" s="11">
        <f t="shared" si="3"/>
        <v>1.5237152169246271</v>
      </c>
      <c r="I73" s="11">
        <f t="shared" si="3"/>
        <v>5.2028563522121569</v>
      </c>
      <c r="J73" s="11">
        <f t="shared" si="3"/>
        <v>9.5363457244104755</v>
      </c>
      <c r="K73" s="11">
        <f t="shared" si="3"/>
        <v>19.188646645649364</v>
      </c>
      <c r="L73" s="11">
        <f t="shared" si="3"/>
        <v>30.069992180262787</v>
      </c>
    </row>
    <row r="74" spans="1:12" s="10" customFormat="1" hidden="1">
      <c r="B74" s="12"/>
      <c r="C74" s="10" t="s">
        <v>22</v>
      </c>
      <c r="E74" s="11">
        <f t="shared" ref="E74:L74" si="4">E68</f>
        <v>0.20564096271160751</v>
      </c>
      <c r="F74" s="11">
        <f t="shared" si="4"/>
        <v>6.765875641882445E-3</v>
      </c>
      <c r="G74" s="11">
        <f t="shared" si="4"/>
        <v>1.6699633111552887E-2</v>
      </c>
      <c r="H74" s="11">
        <f t="shared" si="4"/>
        <v>9.3414912084412605E-2</v>
      </c>
      <c r="I74" s="11">
        <f t="shared" si="4"/>
        <v>4.8351246019446806E-2</v>
      </c>
      <c r="J74" s="11">
        <f t="shared" si="4"/>
        <v>5.3727150441983874E-2</v>
      </c>
      <c r="K74" s="11">
        <f t="shared" si="4"/>
        <v>4.7245829909266401E-2</v>
      </c>
      <c r="L74" s="11">
        <f t="shared" si="4"/>
        <v>8.6039595344996628E-3</v>
      </c>
    </row>
    <row r="75" spans="1:12" s="10" customFormat="1" hidden="1">
      <c r="B75" s="12"/>
      <c r="C75" s="10" t="s">
        <v>23</v>
      </c>
      <c r="E75" s="11">
        <f>RADIANS(E69)</f>
        <v>0.12223253911859526</v>
      </c>
      <c r="F75" s="11">
        <f t="shared" ref="F75:L75" si="5">RADIANS(F69)</f>
        <v>5.9244638491196482E-2</v>
      </c>
      <c r="G75" s="11">
        <f t="shared" si="5"/>
        <v>-5.9931562090405517E-5</v>
      </c>
      <c r="H75" s="11">
        <f t="shared" si="5"/>
        <v>3.2245732548171833E-2</v>
      </c>
      <c r="I75" s="11">
        <f t="shared" si="5"/>
        <v>2.275755513074872E-2</v>
      </c>
      <c r="J75" s="11">
        <f t="shared" si="5"/>
        <v>4.3397665716879114E-2</v>
      </c>
      <c r="K75" s="11">
        <f t="shared" si="5"/>
        <v>1.3473878294447969E-2</v>
      </c>
      <c r="L75" s="11">
        <f t="shared" si="5"/>
        <v>3.089471656199955E-2</v>
      </c>
    </row>
    <row r="76" spans="1:12" s="10" customFormat="1" hidden="1">
      <c r="B76" s="12"/>
      <c r="C76" s="10" t="s">
        <v>24</v>
      </c>
      <c r="D76" s="10" t="s">
        <v>31</v>
      </c>
      <c r="E76" s="11">
        <f t="shared" ref="E76:L78" si="6">RADIANS(E70)</f>
        <v>693.24253832732268</v>
      </c>
      <c r="F76" s="11">
        <f t="shared" si="6"/>
        <v>272.8535765635757</v>
      </c>
      <c r="G76" s="11">
        <f t="shared" si="6"/>
        <v>167.65537042123245</v>
      </c>
      <c r="H76" s="11">
        <f t="shared" si="6"/>
        <v>88.127987775497417</v>
      </c>
      <c r="I76" s="11">
        <f t="shared" si="6"/>
        <v>14.585859609165816</v>
      </c>
      <c r="J76" s="11">
        <f t="shared" si="6"/>
        <v>6.505687990258977</v>
      </c>
      <c r="K76" s="11">
        <f t="shared" si="6"/>
        <v>7.4416817054886595</v>
      </c>
      <c r="L76" s="11">
        <f t="shared" si="6"/>
        <v>4.4737257587395413E-2</v>
      </c>
    </row>
    <row r="77" spans="1:12" s="10" customFormat="1" hidden="1">
      <c r="B77" s="12"/>
      <c r="C77" s="10" t="s">
        <v>25</v>
      </c>
      <c r="E77" s="11">
        <f t="shared" si="6"/>
        <v>1.3526331289343863</v>
      </c>
      <c r="F77" s="11">
        <f t="shared" si="6"/>
        <v>2.2969087218931556</v>
      </c>
      <c r="G77" s="11">
        <f t="shared" si="6"/>
        <v>1.7980912700669991</v>
      </c>
      <c r="H77" s="11">
        <f t="shared" si="6"/>
        <v>-0.41584711818916409</v>
      </c>
      <c r="I77" s="11">
        <f t="shared" si="6"/>
        <v>0.25803988911468118</v>
      </c>
      <c r="J77" s="11">
        <f t="shared" si="6"/>
        <v>1.6142244906395504</v>
      </c>
      <c r="K77" s="11">
        <f t="shared" si="6"/>
        <v>2.9855954898545698</v>
      </c>
      <c r="L77" s="11">
        <f t="shared" si="6"/>
        <v>0.78329731164365257</v>
      </c>
    </row>
    <row r="78" spans="1:12" s="10" customFormat="1" hidden="1">
      <c r="B78" s="12"/>
      <c r="C78" s="10" t="s">
        <v>26</v>
      </c>
      <c r="D78" s="10" t="s">
        <v>27</v>
      </c>
      <c r="E78" s="11">
        <f t="shared" si="6"/>
        <v>0.84295336599677007</v>
      </c>
      <c r="F78" s="11">
        <f t="shared" si="6"/>
        <v>1.3370359778441481</v>
      </c>
      <c r="G78" s="11">
        <f t="shared" si="6"/>
        <v>0</v>
      </c>
      <c r="H78" s="11">
        <f t="shared" si="6"/>
        <v>0.86362881464760022</v>
      </c>
      <c r="I78" s="11">
        <f t="shared" si="6"/>
        <v>1.7545438380385621</v>
      </c>
      <c r="J78" s="11">
        <f t="shared" si="6"/>
        <v>1.9824531801117729</v>
      </c>
      <c r="K78" s="11">
        <f t="shared" si="6"/>
        <v>1.2920344701351789</v>
      </c>
      <c r="L78" s="11">
        <f t="shared" si="6"/>
        <v>2.3000451997400564</v>
      </c>
    </row>
    <row r="79" spans="1:12" s="10" customFormat="1" hidden="1">
      <c r="C79" s="10" t="s">
        <v>25</v>
      </c>
      <c r="D79" s="15"/>
      <c r="E79" s="11">
        <f t="shared" ref="E79:L79" si="7">E77-E78</f>
        <v>0.50967976293761619</v>
      </c>
      <c r="F79" s="11">
        <f t="shared" si="7"/>
        <v>0.95987274404900758</v>
      </c>
      <c r="G79" s="11">
        <f t="shared" si="7"/>
        <v>1.7980912700669991</v>
      </c>
      <c r="H79" s="11">
        <f t="shared" si="7"/>
        <v>-1.2794759328367644</v>
      </c>
      <c r="I79" s="11">
        <f t="shared" si="7"/>
        <v>-1.4965039489238809</v>
      </c>
      <c r="J79" s="11">
        <f t="shared" si="7"/>
        <v>-0.36822868947222243</v>
      </c>
      <c r="K79" s="11">
        <f t="shared" si="7"/>
        <v>1.6935610197193909</v>
      </c>
      <c r="L79" s="11">
        <f t="shared" si="7"/>
        <v>-1.5167478880964038</v>
      </c>
    </row>
    <row r="80" spans="1:12" s="10" customFormat="1" hidden="1">
      <c r="C80" s="10" t="s">
        <v>32</v>
      </c>
      <c r="D80" s="15"/>
      <c r="E80" s="11">
        <f t="shared" ref="E80:L80" si="8">(SIN(E76 - E77)/ABS(SIN(E76 - E77)))*ACOS(COS(E76 - E77))</f>
        <v>0.73952140863379301</v>
      </c>
      <c r="F80" s="11">
        <f t="shared" si="8"/>
        <v>0.37969963296033549</v>
      </c>
      <c r="G80" s="11">
        <f t="shared" si="8"/>
        <v>2.4944611644961943</v>
      </c>
      <c r="H80" s="11">
        <f t="shared" si="8"/>
        <v>0.57924059317236865</v>
      </c>
      <c r="I80" s="11">
        <f t="shared" si="8"/>
        <v>1.7614491056919621</v>
      </c>
      <c r="J80" s="11">
        <f t="shared" si="8"/>
        <v>-1.3917218075601598</v>
      </c>
      <c r="K80" s="11">
        <f t="shared" si="8"/>
        <v>-1.8270990915454972</v>
      </c>
      <c r="L80" s="11">
        <f t="shared" si="8"/>
        <v>-0.73856005405625713</v>
      </c>
    </row>
    <row r="81" spans="3:12" s="10" customFormat="1" hidden="1">
      <c r="C81" s="10" t="s">
        <v>33</v>
      </c>
      <c r="D81" s="15"/>
      <c r="E81" s="11">
        <f t="shared" ref="E81:L81" si="9">E80 + E74*SIN(E80)</f>
        <v>0.8781099294577186</v>
      </c>
      <c r="F81" s="11">
        <f t="shared" si="9"/>
        <v>0.38220734734120654</v>
      </c>
      <c r="G81" s="11">
        <f t="shared" si="9"/>
        <v>2.5045293790432663</v>
      </c>
      <c r="H81" s="11">
        <f t="shared" si="9"/>
        <v>0.63037484769682106</v>
      </c>
      <c r="I81" s="11">
        <f t="shared" si="9"/>
        <v>1.8089242630487892</v>
      </c>
      <c r="J81" s="11">
        <f t="shared" si="9"/>
        <v>-1.4445898049824342</v>
      </c>
      <c r="K81" s="11">
        <f t="shared" si="9"/>
        <v>-1.8728015824753774</v>
      </c>
      <c r="L81" s="11">
        <f t="shared" si="9"/>
        <v>-0.74435244488936025</v>
      </c>
    </row>
    <row r="82" spans="3:12" s="10" customFormat="1" hidden="1">
      <c r="C82" s="10" t="s">
        <v>34</v>
      </c>
      <c r="D82" s="15"/>
      <c r="E82" s="11">
        <f t="shared" ref="E82:L91" si="10">E$80 + E$74*SIN(E81)</f>
        <v>0.89776896542446571</v>
      </c>
      <c r="F82" s="11">
        <f t="shared" si="10"/>
        <v>0.38222309787407521</v>
      </c>
      <c r="G82" s="11">
        <f t="shared" si="10"/>
        <v>2.504394729743542</v>
      </c>
      <c r="H82" s="11">
        <f t="shared" si="10"/>
        <v>0.63430378925924968</v>
      </c>
      <c r="I82" s="11">
        <f t="shared" si="10"/>
        <v>1.8084359408085771</v>
      </c>
      <c r="J82" s="11">
        <f t="shared" si="10"/>
        <v>-1.4450216403098681</v>
      </c>
      <c r="K82" s="11">
        <f t="shared" si="10"/>
        <v>-1.8722066685140837</v>
      </c>
      <c r="L82" s="11">
        <f t="shared" si="10"/>
        <v>-0.74438919928605796</v>
      </c>
    </row>
    <row r="83" spans="3:12" s="10" customFormat="1" hidden="1">
      <c r="C83" s="10" t="s">
        <v>35</v>
      </c>
      <c r="D83" s="15"/>
      <c r="E83" s="11">
        <f t="shared" si="10"/>
        <v>0.90031991804351574</v>
      </c>
      <c r="F83" s="11">
        <f t="shared" si="10"/>
        <v>0.38222319675048189</v>
      </c>
      <c r="G83" s="11">
        <f t="shared" si="10"/>
        <v>2.504396537176917</v>
      </c>
      <c r="H83" s="11">
        <f t="shared" si="10"/>
        <v>0.63459984608400755</v>
      </c>
      <c r="I83" s="11">
        <f t="shared" si="10"/>
        <v>1.8084415046560043</v>
      </c>
      <c r="J83" s="11">
        <f t="shared" si="10"/>
        <v>-1.4450245557259831</v>
      </c>
      <c r="K83" s="11">
        <f t="shared" si="10"/>
        <v>-1.8722150206060415</v>
      </c>
      <c r="L83" s="11">
        <f t="shared" si="10"/>
        <v>-0.7443894318802099</v>
      </c>
    </row>
    <row r="84" spans="3:12" s="10" customFormat="1" hidden="1">
      <c r="C84" s="10" t="s">
        <v>36</v>
      </c>
      <c r="D84" s="15"/>
      <c r="E84" s="11">
        <f t="shared" si="10"/>
        <v>0.90064639483828357</v>
      </c>
      <c r="F84" s="11">
        <f t="shared" si="10"/>
        <v>0.38222319737119187</v>
      </c>
      <c r="G84" s="11">
        <f t="shared" si="10"/>
        <v>2.5043965129164509</v>
      </c>
      <c r="H84" s="11">
        <f t="shared" si="10"/>
        <v>0.63462212023476905</v>
      </c>
      <c r="I84" s="11">
        <f t="shared" si="10"/>
        <v>1.8084414413257308</v>
      </c>
      <c r="J84" s="11">
        <f t="shared" si="10"/>
        <v>-1.4450245753748248</v>
      </c>
      <c r="K84" s="11">
        <f t="shared" si="10"/>
        <v>-1.8722149034601958</v>
      </c>
      <c r="L84" s="11">
        <f t="shared" si="10"/>
        <v>-0.7443894333521186</v>
      </c>
    </row>
    <row r="85" spans="3:12" s="10" customFormat="1" hidden="1">
      <c r="C85" s="10" t="s">
        <v>37</v>
      </c>
      <c r="D85" s="15"/>
      <c r="E85" s="11">
        <f t="shared" si="10"/>
        <v>0.90068810245384301</v>
      </c>
      <c r="F85" s="11">
        <f t="shared" si="10"/>
        <v>0.38222319737508842</v>
      </c>
      <c r="G85" s="11">
        <f t="shared" si="10"/>
        <v>2.5043965132420896</v>
      </c>
      <c r="H85" s="11">
        <f t="shared" si="10"/>
        <v>0.63462379585792383</v>
      </c>
      <c r="I85" s="11">
        <f t="shared" si="10"/>
        <v>1.8084414420465933</v>
      </c>
      <c r="J85" s="11">
        <f t="shared" si="10"/>
        <v>-1.4450245755072493</v>
      </c>
      <c r="K85" s="11">
        <f t="shared" si="10"/>
        <v>-1.872214905103297</v>
      </c>
      <c r="L85" s="11">
        <f t="shared" si="10"/>
        <v>-0.74438943336143326</v>
      </c>
    </row>
    <row r="86" spans="3:12" s="10" customFormat="1" hidden="1">
      <c r="C86" s="10" t="s">
        <v>38</v>
      </c>
      <c r="D86" s="15"/>
      <c r="E86" s="11">
        <f t="shared" si="10"/>
        <v>0.90069342939057084</v>
      </c>
      <c r="F86" s="11">
        <f t="shared" si="10"/>
        <v>0.3822231973751129</v>
      </c>
      <c r="G86" s="11">
        <f t="shared" si="10"/>
        <v>2.5043965132377188</v>
      </c>
      <c r="H86" s="11">
        <f t="shared" si="10"/>
        <v>0.63462392190933814</v>
      </c>
      <c r="I86" s="11">
        <f t="shared" si="10"/>
        <v>1.8084414420383881</v>
      </c>
      <c r="J86" s="11">
        <f t="shared" si="10"/>
        <v>-1.4450245755081417</v>
      </c>
      <c r="K86" s="11">
        <f t="shared" si="10"/>
        <v>-1.8722149050802506</v>
      </c>
      <c r="L86" s="11">
        <f t="shared" si="10"/>
        <v>-0.74438943336149221</v>
      </c>
    </row>
    <row r="87" spans="3:12" s="10" customFormat="1" hidden="1">
      <c r="C87" s="10" t="s">
        <v>39</v>
      </c>
      <c r="D87" s="15"/>
      <c r="E87" s="11">
        <f t="shared" si="10"/>
        <v>0.90069410973185671</v>
      </c>
      <c r="F87" s="11">
        <f t="shared" si="10"/>
        <v>0.38222319737511307</v>
      </c>
      <c r="G87" s="11">
        <f t="shared" si="10"/>
        <v>2.5043965132377775</v>
      </c>
      <c r="H87" s="11">
        <f t="shared" si="10"/>
        <v>0.63462393139174977</v>
      </c>
      <c r="I87" s="11">
        <f t="shared" si="10"/>
        <v>1.8084414420384813</v>
      </c>
      <c r="J87" s="11">
        <f t="shared" si="10"/>
        <v>-1.4450245755081479</v>
      </c>
      <c r="K87" s="11">
        <f t="shared" si="10"/>
        <v>-1.8722149050805739</v>
      </c>
      <c r="L87" s="11">
        <f t="shared" si="10"/>
        <v>-0.74438943336149255</v>
      </c>
    </row>
    <row r="88" spans="3:12" s="10" customFormat="1" hidden="1">
      <c r="C88" s="10" t="s">
        <v>40</v>
      </c>
      <c r="D88" s="15"/>
      <c r="E88" s="11">
        <f t="shared" si="10"/>
        <v>0.90069419662279127</v>
      </c>
      <c r="F88" s="11">
        <f t="shared" si="10"/>
        <v>0.38222319737511307</v>
      </c>
      <c r="G88" s="11">
        <f t="shared" si="10"/>
        <v>2.5043965132377766</v>
      </c>
      <c r="H88" s="11">
        <f t="shared" si="10"/>
        <v>0.63462393210507873</v>
      </c>
      <c r="I88" s="11">
        <f t="shared" si="10"/>
        <v>1.8084414420384802</v>
      </c>
      <c r="J88" s="11">
        <f t="shared" si="10"/>
        <v>-1.4450245755081479</v>
      </c>
      <c r="K88" s="11">
        <f t="shared" si="10"/>
        <v>-1.8722149050805692</v>
      </c>
      <c r="L88" s="11">
        <f t="shared" si="10"/>
        <v>-0.74438943336149255</v>
      </c>
    </row>
    <row r="89" spans="3:12" s="10" customFormat="1" hidden="1">
      <c r="C89" s="10" t="s">
        <v>41</v>
      </c>
      <c r="E89" s="11">
        <f t="shared" si="10"/>
        <v>0.90069420772020814</v>
      </c>
      <c r="F89" s="11">
        <f t="shared" si="10"/>
        <v>0.38222319737511307</v>
      </c>
      <c r="G89" s="11">
        <f t="shared" si="10"/>
        <v>2.5043965132377766</v>
      </c>
      <c r="H89" s="11">
        <f t="shared" si="10"/>
        <v>0.63462393215874002</v>
      </c>
      <c r="I89" s="11">
        <f t="shared" si="10"/>
        <v>1.8084414420384802</v>
      </c>
      <c r="J89" s="11">
        <f t="shared" si="10"/>
        <v>-1.4450245755081479</v>
      </c>
      <c r="K89" s="11">
        <f t="shared" si="10"/>
        <v>-1.8722149050805694</v>
      </c>
      <c r="L89" s="11">
        <f t="shared" si="10"/>
        <v>-0.74438943336149255</v>
      </c>
    </row>
    <row r="90" spans="3:12" s="10" customFormat="1" hidden="1">
      <c r="C90" s="10" t="s">
        <v>42</v>
      </c>
      <c r="E90" s="11">
        <f t="shared" si="10"/>
        <v>0.90069420913753273</v>
      </c>
      <c r="F90" s="11">
        <f t="shared" si="10"/>
        <v>0.38222319737511307</v>
      </c>
      <c r="G90" s="11">
        <f t="shared" si="10"/>
        <v>2.5043965132377766</v>
      </c>
      <c r="H90" s="11">
        <f t="shared" si="10"/>
        <v>0.63462393216277668</v>
      </c>
      <c r="I90" s="11">
        <f t="shared" si="10"/>
        <v>1.8084414420384802</v>
      </c>
      <c r="J90" s="11">
        <f t="shared" si="10"/>
        <v>-1.4450245755081479</v>
      </c>
      <c r="K90" s="11">
        <f t="shared" si="10"/>
        <v>-1.8722149050805694</v>
      </c>
      <c r="L90" s="11">
        <f t="shared" si="10"/>
        <v>-0.74438943336149255</v>
      </c>
    </row>
    <row r="91" spans="3:12" s="10" customFormat="1" hidden="1">
      <c r="C91" s="10" t="s">
        <v>43</v>
      </c>
      <c r="D91" s="15"/>
      <c r="E91" s="11">
        <f t="shared" si="10"/>
        <v>0.9006942093185486</v>
      </c>
      <c r="F91" s="11">
        <f t="shared" si="10"/>
        <v>0.38222319737511307</v>
      </c>
      <c r="G91" s="11">
        <f t="shared" si="10"/>
        <v>2.5043965132377766</v>
      </c>
      <c r="H91" s="11">
        <f t="shared" si="10"/>
        <v>0.63462393216308044</v>
      </c>
      <c r="I91" s="11">
        <f t="shared" si="10"/>
        <v>1.8084414420384802</v>
      </c>
      <c r="J91" s="11">
        <f t="shared" si="10"/>
        <v>-1.4450245755081479</v>
      </c>
      <c r="K91" s="11">
        <f t="shared" si="10"/>
        <v>-1.8722149050805694</v>
      </c>
      <c r="L91" s="11">
        <f t="shared" si="10"/>
        <v>-0.74438943336149255</v>
      </c>
    </row>
    <row r="92" spans="3:12" s="10" customFormat="1" hidden="1">
      <c r="C92" s="10" t="s">
        <v>44</v>
      </c>
      <c r="D92" s="15"/>
      <c r="E92" s="11">
        <f t="shared" ref="E92:L92" si="11">E91</f>
        <v>0.9006942093185486</v>
      </c>
      <c r="F92" s="11">
        <f t="shared" si="11"/>
        <v>0.38222319737511307</v>
      </c>
      <c r="G92" s="11">
        <f t="shared" si="11"/>
        <v>2.5043965132377766</v>
      </c>
      <c r="H92" s="11">
        <f t="shared" si="11"/>
        <v>0.63462393216308044</v>
      </c>
      <c r="I92" s="11">
        <f t="shared" si="11"/>
        <v>1.8084414420384802</v>
      </c>
      <c r="J92" s="11">
        <f t="shared" si="11"/>
        <v>-1.4450245755081479</v>
      </c>
      <c r="K92" s="11">
        <f t="shared" si="11"/>
        <v>-1.8722149050805694</v>
      </c>
      <c r="L92" s="11">
        <f t="shared" si="11"/>
        <v>-0.74438943336149255</v>
      </c>
    </row>
    <row r="93" spans="3:12" s="10" customFormat="1" hidden="1">
      <c r="C93" s="10" t="s">
        <v>45</v>
      </c>
      <c r="D93" s="15"/>
      <c r="E93" s="11">
        <f t="shared" ref="E93:L93" si="12">E92 - (E74)*SIN(E92)</f>
        <v>0.73952140861067428</v>
      </c>
      <c r="F93" s="11">
        <f t="shared" si="12"/>
        <v>0.37969963296033549</v>
      </c>
      <c r="G93" s="11">
        <f t="shared" si="12"/>
        <v>2.4944611644961943</v>
      </c>
      <c r="H93" s="11">
        <f t="shared" si="12"/>
        <v>0.57924059317234589</v>
      </c>
      <c r="I93" s="11">
        <f t="shared" si="12"/>
        <v>1.7614491056919621</v>
      </c>
      <c r="J93" s="11">
        <f t="shared" si="12"/>
        <v>-1.3917218075601598</v>
      </c>
      <c r="K93" s="11">
        <f t="shared" si="12"/>
        <v>-1.8270990915454972</v>
      </c>
      <c r="L93" s="11">
        <f t="shared" si="12"/>
        <v>-0.73856005405625713</v>
      </c>
    </row>
    <row r="94" spans="3:12" s="10" customFormat="1" hidden="1">
      <c r="C94" s="10" t="s">
        <v>46</v>
      </c>
      <c r="D94" s="15"/>
      <c r="E94" s="16">
        <f t="shared" ref="E94:L94" si="13">(E80-E93)/E80</f>
        <v>3.1261744262403387E-11</v>
      </c>
      <c r="F94" s="16">
        <f t="shared" si="13"/>
        <v>0</v>
      </c>
      <c r="G94" s="16">
        <f t="shared" si="13"/>
        <v>0</v>
      </c>
      <c r="H94" s="16">
        <f t="shared" si="13"/>
        <v>3.9292087386636222E-14</v>
      </c>
      <c r="I94" s="16">
        <f t="shared" si="13"/>
        <v>0</v>
      </c>
      <c r="J94" s="16">
        <f t="shared" si="13"/>
        <v>0</v>
      </c>
      <c r="K94" s="16">
        <f t="shared" si="13"/>
        <v>0</v>
      </c>
      <c r="L94" s="16">
        <f t="shared" si="13"/>
        <v>0</v>
      </c>
    </row>
    <row r="95" spans="3:12" s="10" customFormat="1" hidden="1">
      <c r="C95" s="10" t="s">
        <v>47</v>
      </c>
      <c r="D95" s="10">
        <v>0</v>
      </c>
      <c r="E95" s="11">
        <f t="shared" ref="E95:L95" si="14">E73*(COS(E91) - E74)</f>
        <v>0.16081077920401451</v>
      </c>
      <c r="F95" s="11">
        <f t="shared" si="14"/>
        <v>0.66624505303696868</v>
      </c>
      <c r="G95" s="11">
        <f t="shared" si="14"/>
        <v>-0.82047004705324722</v>
      </c>
      <c r="H95" s="11">
        <f t="shared" si="14"/>
        <v>1.0847020875977251</v>
      </c>
      <c r="I95" s="11">
        <f t="shared" si="14"/>
        <v>-1.4763928328570117</v>
      </c>
      <c r="J95" s="11">
        <f t="shared" si="14"/>
        <v>0.68388258882242026</v>
      </c>
      <c r="K95" s="11">
        <f t="shared" si="14"/>
        <v>-6.603215473484676</v>
      </c>
      <c r="L95" s="11">
        <f t="shared" si="14"/>
        <v>21.857809741738741</v>
      </c>
    </row>
    <row r="96" spans="3:12" s="10" customFormat="1" hidden="1">
      <c r="C96" s="10" t="s">
        <v>48</v>
      </c>
      <c r="D96" s="10">
        <v>0</v>
      </c>
      <c r="E96" s="11">
        <f t="shared" ref="E96:L96" si="15">E73*((1 - E74^2)^0.5)*SIN(E91)</f>
        <v>0.2969080715827831</v>
      </c>
      <c r="F96" s="11">
        <f t="shared" si="15"/>
        <v>0.26978694938156278</v>
      </c>
      <c r="G96" s="11">
        <f t="shared" si="15"/>
        <v>0.5948636041169777</v>
      </c>
      <c r="H96" s="11">
        <f t="shared" si="15"/>
        <v>0.89942201286451129</v>
      </c>
      <c r="I96" s="11">
        <f t="shared" si="15"/>
        <v>5.0507160374913687</v>
      </c>
      <c r="J96" s="11">
        <f t="shared" si="15"/>
        <v>-9.447354607210066</v>
      </c>
      <c r="K96" s="11">
        <f t="shared" si="15"/>
        <v>-18.303089586757146</v>
      </c>
      <c r="L96" s="11">
        <f t="shared" si="15"/>
        <v>-20.372353115948485</v>
      </c>
    </row>
    <row r="97" spans="3:12" s="10" customFormat="1" hidden="1">
      <c r="C97" s="10" t="s">
        <v>49</v>
      </c>
      <c r="D97" s="10">
        <v>0</v>
      </c>
      <c r="E97" s="11">
        <v>0</v>
      </c>
      <c r="F97" s="11">
        <v>0</v>
      </c>
      <c r="G97" s="11">
        <v>0</v>
      </c>
      <c r="H97" s="11">
        <v>0</v>
      </c>
      <c r="I97" s="11">
        <v>0</v>
      </c>
      <c r="J97" s="11">
        <v>0</v>
      </c>
      <c r="K97" s="11">
        <v>0</v>
      </c>
      <c r="L97" s="11">
        <v>0</v>
      </c>
    </row>
    <row r="98" spans="3:12" s="10" customFormat="1" hidden="1">
      <c r="C98" s="10" t="s">
        <v>50</v>
      </c>
      <c r="D98" s="10">
        <v>0</v>
      </c>
      <c r="E98" s="11">
        <f t="shared" ref="E98:L98" si="16">E95*(COS(E79)*COS(E78) - SIN(E79)*SIN(E78)*COS(E75)) - E96*(SIN(E79)*COS(E78) + COS(E79)*SIN(E78)*COS(E75))</f>
        <v>-0.25318421200498892</v>
      </c>
      <c r="F98" s="11">
        <f t="shared" si="16"/>
        <v>-0.64290585617703444</v>
      </c>
      <c r="G98" s="11">
        <f t="shared" si="16"/>
        <v>-0.39467635409950741</v>
      </c>
      <c r="H98" s="11">
        <f t="shared" si="16"/>
        <v>1.3552842447677333</v>
      </c>
      <c r="I98" s="11">
        <f t="shared" si="16"/>
        <v>-2.7159133457566593</v>
      </c>
      <c r="J98" s="11">
        <f t="shared" si="16"/>
        <v>9.4009388473917195</v>
      </c>
      <c r="K98" s="11">
        <f t="shared" si="16"/>
        <v>9.3663207116444713</v>
      </c>
      <c r="L98" s="11">
        <f t="shared" si="16"/>
        <v>29.85521718888792</v>
      </c>
    </row>
    <row r="99" spans="3:12" s="10" customFormat="1" hidden="1">
      <c r="C99" s="10" t="s">
        <v>51</v>
      </c>
      <c r="D99" s="10">
        <v>0</v>
      </c>
      <c r="E99" s="11">
        <f t="shared" ref="E99:L99" si="17">E95*(COS(E79)*SIN(E78) + SIN(E79)*COS(E78)*COS(E75)) - E96*(SIN(E79)*SIN(E78) - COS(E79)*COS(E78)*COS(E75))</f>
        <v>0.21958498039148849</v>
      </c>
      <c r="F99" s="11">
        <f t="shared" si="17"/>
        <v>0.31877777493535542</v>
      </c>
      <c r="G99" s="11">
        <f t="shared" si="17"/>
        <v>-0.93341543698393892</v>
      </c>
      <c r="H99" s="11">
        <f t="shared" si="17"/>
        <v>0.38485025538651896</v>
      </c>
      <c r="I99" s="11">
        <f t="shared" si="17"/>
        <v>4.5068299401315643</v>
      </c>
      <c r="J99" s="11">
        <f t="shared" si="17"/>
        <v>1.0899768055594647</v>
      </c>
      <c r="K99" s="11">
        <f t="shared" si="17"/>
        <v>17.055034556241147</v>
      </c>
      <c r="L99" s="11">
        <f t="shared" si="17"/>
        <v>0.98035033382146786</v>
      </c>
    </row>
    <row r="100" spans="3:12" s="10" customFormat="1" hidden="1">
      <c r="C100" s="10" t="s">
        <v>52</v>
      </c>
      <c r="D100" s="10">
        <v>0</v>
      </c>
      <c r="E100" s="11">
        <f t="shared" ref="E100:L100" si="18">E95*SIN(E79)*SIN(E75) + E96*COS(E79)*SIN(E75)</f>
        <v>4.1166744552997729E-2</v>
      </c>
      <c r="F100" s="11">
        <f t="shared" si="18"/>
        <v>4.1476005754909735E-2</v>
      </c>
      <c r="G100" s="11">
        <f t="shared" si="18"/>
        <v>5.5941045284722131E-5</v>
      </c>
      <c r="H100" s="11">
        <f t="shared" si="18"/>
        <v>-2.5168887090959022E-2</v>
      </c>
      <c r="I100" s="11">
        <f t="shared" si="18"/>
        <v>4.2034240312559264E-2</v>
      </c>
      <c r="J100" s="11">
        <f t="shared" si="18"/>
        <v>-0.39306974013697327</v>
      </c>
      <c r="K100" s="11">
        <f t="shared" si="18"/>
        <v>-5.8100104693600482E-2</v>
      </c>
      <c r="L100" s="11">
        <f t="shared" si="18"/>
        <v>-0.70819348645156754</v>
      </c>
    </row>
    <row r="101" spans="3:12" s="10" customFormat="1" hidden="1">
      <c r="C101" s="10" t="s">
        <v>53</v>
      </c>
      <c r="D101" s="11">
        <f>RADIANS(23.43928)</f>
        <v>0.40909261029685651</v>
      </c>
      <c r="E101" s="11">
        <f>RADIANS(23.43928)</f>
        <v>0.40909261029685651</v>
      </c>
      <c r="F101" s="11">
        <v>0.40909261029685651</v>
      </c>
      <c r="G101" s="11">
        <v>0.40909261029685651</v>
      </c>
      <c r="H101" s="11">
        <v>0.40909261029685651</v>
      </c>
      <c r="I101" s="11">
        <v>0.40909261029685651</v>
      </c>
      <c r="J101" s="11">
        <v>0.40909261029685651</v>
      </c>
      <c r="K101" s="11">
        <v>0.40909261029685651</v>
      </c>
      <c r="L101" s="11">
        <v>0.40909261029685651</v>
      </c>
    </row>
    <row r="102" spans="3:12" s="10" customFormat="1" hidden="1">
      <c r="C102" s="10" t="s">
        <v>54</v>
      </c>
      <c r="D102" s="10">
        <f>D98</f>
        <v>0</v>
      </c>
      <c r="E102" s="10">
        <f>E98</f>
        <v>-0.25318421200498892</v>
      </c>
      <c r="F102" s="11">
        <f t="shared" ref="F102:L102" si="19">F98</f>
        <v>-0.64290585617703444</v>
      </c>
      <c r="G102" s="11">
        <f t="shared" si="19"/>
        <v>-0.39467635409950741</v>
      </c>
      <c r="H102" s="11">
        <f t="shared" si="19"/>
        <v>1.3552842447677333</v>
      </c>
      <c r="I102" s="11">
        <f t="shared" si="19"/>
        <v>-2.7159133457566593</v>
      </c>
      <c r="J102" s="11">
        <f t="shared" si="19"/>
        <v>9.4009388473917195</v>
      </c>
      <c r="K102" s="11">
        <f t="shared" si="19"/>
        <v>9.3663207116444713</v>
      </c>
      <c r="L102" s="11">
        <f t="shared" si="19"/>
        <v>29.85521718888792</v>
      </c>
    </row>
    <row r="103" spans="3:12" s="10" customFormat="1" hidden="1">
      <c r="C103" s="10" t="s">
        <v>55</v>
      </c>
      <c r="D103" s="10">
        <f>D99*COS(D101)</f>
        <v>0</v>
      </c>
      <c r="E103" s="11">
        <f>E99*COS(E101) - E100*SIN(E101)</f>
        <v>0.18509011430484254</v>
      </c>
      <c r="F103" s="11">
        <f t="shared" ref="F103:L103" si="20">F99*COS(F101) - F100*SIN(F101)</f>
        <v>0.27597471465068579</v>
      </c>
      <c r="G103" s="11">
        <f t="shared" si="20"/>
        <v>-0.85641424395400267</v>
      </c>
      <c r="H103" s="11">
        <f t="shared" si="20"/>
        <v>0.36310483943376465</v>
      </c>
      <c r="I103" s="11">
        <f t="shared" si="20"/>
        <v>4.1182157214354422</v>
      </c>
      <c r="J103" s="11">
        <f t="shared" si="20"/>
        <v>1.1563883446304888</v>
      </c>
      <c r="K103" s="11">
        <f t="shared" si="20"/>
        <v>15.670800472998405</v>
      </c>
      <c r="L103" s="11">
        <f t="shared" si="20"/>
        <v>1.1811569863342741</v>
      </c>
    </row>
    <row r="104" spans="3:12" s="10" customFormat="1" hidden="1">
      <c r="C104" s="10" t="s">
        <v>56</v>
      </c>
      <c r="D104" s="10">
        <f>D99*SIN(D101) + D100*COS(D101)</f>
        <v>0</v>
      </c>
      <c r="E104" s="11">
        <f>E99*SIN(E101) + E100*COS(E101)</f>
        <v>0.12511560277296543</v>
      </c>
      <c r="F104" s="11">
        <f t="shared" ref="F104:L104" si="21">F99*SIN(F101) + F100*COS(F101)</f>
        <v>0.1648559544559734</v>
      </c>
      <c r="G104" s="11">
        <f t="shared" si="21"/>
        <v>-0.37123984684030359</v>
      </c>
      <c r="H104" s="11">
        <f t="shared" si="21"/>
        <v>0.12999256720384558</v>
      </c>
      <c r="I104" s="11">
        <f t="shared" si="21"/>
        <v>1.831278858706914</v>
      </c>
      <c r="J104" s="11">
        <f t="shared" si="21"/>
        <v>7.2933213776174011E-2</v>
      </c>
      <c r="K104" s="11">
        <f t="shared" si="21"/>
        <v>6.7307942972741328</v>
      </c>
      <c r="L104" s="11">
        <f t="shared" si="21"/>
        <v>-0.25979408174557322</v>
      </c>
    </row>
    <row r="105" spans="3:12" s="10" customFormat="1" hidden="1">
      <c r="C105" s="10" t="s">
        <v>54</v>
      </c>
      <c r="D105" s="11">
        <f>D102-$G102</f>
        <v>0.39467635409950741</v>
      </c>
      <c r="E105" s="11">
        <f t="shared" ref="E105:L105" si="22">E102-$G102</f>
        <v>0.14149214209451849</v>
      </c>
      <c r="F105" s="11">
        <f t="shared" si="22"/>
        <v>-0.24822950207752703</v>
      </c>
      <c r="G105" s="11">
        <f t="shared" si="22"/>
        <v>0</v>
      </c>
      <c r="H105" s="11">
        <f t="shared" si="22"/>
        <v>1.7499605988672409</v>
      </c>
      <c r="I105" s="11">
        <f t="shared" si="22"/>
        <v>-2.3212369916571518</v>
      </c>
      <c r="J105" s="11">
        <f t="shared" si="22"/>
        <v>9.795615201491227</v>
      </c>
      <c r="K105" s="11">
        <f t="shared" si="22"/>
        <v>9.7609970657439789</v>
      </c>
      <c r="L105" s="11">
        <f t="shared" si="22"/>
        <v>30.249893542987426</v>
      </c>
    </row>
    <row r="106" spans="3:12" s="10" customFormat="1" hidden="1">
      <c r="C106" s="10" t="s">
        <v>55</v>
      </c>
      <c r="D106" s="10">
        <f t="shared" ref="D106:L107" si="23">D103-$G103</f>
        <v>0.85641424395400267</v>
      </c>
      <c r="E106" s="11">
        <f t="shared" si="23"/>
        <v>1.0415043582588452</v>
      </c>
      <c r="F106" s="11">
        <f t="shared" si="23"/>
        <v>1.1323889586046885</v>
      </c>
      <c r="G106" s="11">
        <f t="shared" si="23"/>
        <v>0</v>
      </c>
      <c r="H106" s="11">
        <f t="shared" si="23"/>
        <v>1.2195190833877674</v>
      </c>
      <c r="I106" s="11">
        <f t="shared" si="23"/>
        <v>4.974629965389445</v>
      </c>
      <c r="J106" s="11">
        <f t="shared" si="23"/>
        <v>2.0128025885844916</v>
      </c>
      <c r="K106" s="11">
        <f t="shared" si="23"/>
        <v>16.527214716952408</v>
      </c>
      <c r="L106" s="11">
        <f t="shared" si="23"/>
        <v>2.0375712302882767</v>
      </c>
    </row>
    <row r="107" spans="3:12" s="10" customFormat="1" hidden="1">
      <c r="C107" s="10" t="s">
        <v>56</v>
      </c>
      <c r="D107" s="10">
        <f t="shared" si="23"/>
        <v>0.37123984684030359</v>
      </c>
      <c r="E107" s="11">
        <f t="shared" si="23"/>
        <v>0.49635544961326905</v>
      </c>
      <c r="F107" s="11">
        <f t="shared" si="23"/>
        <v>0.53609580129627699</v>
      </c>
      <c r="G107" s="11">
        <f t="shared" si="23"/>
        <v>0</v>
      </c>
      <c r="H107" s="11">
        <f t="shared" si="23"/>
        <v>0.5012324140441492</v>
      </c>
      <c r="I107" s="11">
        <f t="shared" si="23"/>
        <v>2.2025187055472175</v>
      </c>
      <c r="J107" s="11">
        <f t="shared" si="23"/>
        <v>0.4441730606164776</v>
      </c>
      <c r="K107" s="11">
        <f t="shared" si="23"/>
        <v>7.1020341441144366</v>
      </c>
      <c r="L107" s="11">
        <f t="shared" si="23"/>
        <v>0.11144576509473036</v>
      </c>
    </row>
    <row r="108" spans="3:12" s="10" customFormat="1" hidden="1">
      <c r="E108" s="11"/>
      <c r="F108" s="11"/>
      <c r="G108" s="11"/>
      <c r="H108" s="11"/>
      <c r="I108" s="11"/>
      <c r="J108" s="11"/>
      <c r="K108" s="11"/>
      <c r="L108" s="11"/>
    </row>
    <row r="109" spans="3:12" s="10" customFormat="1" hidden="1">
      <c r="E109" s="11"/>
      <c r="F109" s="11"/>
      <c r="G109" s="11"/>
      <c r="H109" s="11"/>
      <c r="I109" s="11"/>
      <c r="J109" s="11"/>
      <c r="K109" s="11"/>
      <c r="L109" s="11"/>
    </row>
    <row r="110" spans="3:12" s="10" customFormat="1" hidden="1">
      <c r="C110" s="10" t="s">
        <v>57</v>
      </c>
      <c r="D110" s="17">
        <f>DEGREES(ATAN(D107/((D106^2 + D105^2)^0.5)))</f>
        <v>21.488922669737622</v>
      </c>
      <c r="E110" s="17">
        <f>DEGREES(ATAN(E107/((E106^2 + E105^2)^0.5)))</f>
        <v>25.278440626703716</v>
      </c>
      <c r="F110" s="17">
        <f t="shared" ref="F110:L110" si="24">DEGREES(ATAN(F107/((F106^2 + F105^2)^0.5)))</f>
        <v>24.817703185419184</v>
      </c>
      <c r="G110" s="17"/>
      <c r="H110" s="17">
        <f t="shared" si="24"/>
        <v>13.224116622560809</v>
      </c>
      <c r="I110" s="17">
        <f t="shared" si="24"/>
        <v>21.861681109160635</v>
      </c>
      <c r="J110" s="17">
        <f t="shared" si="24"/>
        <v>2.5431833004818918</v>
      </c>
      <c r="K110" s="17">
        <f t="shared" si="24"/>
        <v>20.304729658062172</v>
      </c>
      <c r="L110" s="17">
        <f t="shared" si="24"/>
        <v>0.21060923295230347</v>
      </c>
    </row>
    <row r="111" spans="3:12" s="10" customFormat="1" hidden="1">
      <c r="E111" s="11"/>
      <c r="F111" s="11"/>
      <c r="G111" s="11"/>
      <c r="H111" s="11"/>
      <c r="I111" s="11"/>
      <c r="J111" s="11"/>
      <c r="K111" s="11"/>
      <c r="L111" s="11"/>
    </row>
    <row r="112" spans="3:12" s="10" customFormat="1" hidden="1">
      <c r="D112" s="11"/>
      <c r="E112" s="11"/>
      <c r="F112" s="11"/>
      <c r="G112" s="11"/>
      <c r="H112" s="11"/>
      <c r="I112" s="11"/>
      <c r="J112" s="11"/>
      <c r="K112" s="11"/>
      <c r="L112" s="11"/>
    </row>
    <row r="113" spans="4:12" s="10" customFormat="1" hidden="1">
      <c r="E113" s="11"/>
      <c r="F113" s="11"/>
      <c r="G113" s="11"/>
      <c r="H113" s="11"/>
      <c r="I113" s="11"/>
      <c r="J113" s="11"/>
      <c r="K113" s="11"/>
      <c r="L113" s="11"/>
    </row>
    <row r="114" spans="4:12" s="10" customFormat="1" hidden="1">
      <c r="E114" s="11"/>
      <c r="F114" s="11"/>
      <c r="G114" s="11"/>
      <c r="H114" s="11"/>
      <c r="I114" s="11"/>
      <c r="J114" s="11"/>
      <c r="K114" s="11"/>
      <c r="L114" s="11"/>
    </row>
    <row r="115" spans="4:12" s="10" customFormat="1" hidden="1">
      <c r="D115" s="11"/>
      <c r="E115" s="11"/>
      <c r="F115" s="11"/>
      <c r="G115" s="11"/>
      <c r="H115" s="11"/>
      <c r="I115" s="11"/>
      <c r="J115" s="11"/>
      <c r="K115" s="11"/>
      <c r="L115" s="11"/>
    </row>
    <row r="116" spans="4:12" s="10" customFormat="1" hidden="1">
      <c r="E116" s="11"/>
      <c r="F116" s="11"/>
      <c r="G116" s="11"/>
      <c r="H116" s="11"/>
      <c r="I116" s="11"/>
      <c r="J116" s="11"/>
      <c r="K116" s="11"/>
      <c r="L116" s="11"/>
    </row>
    <row r="117" spans="4:12" s="10" customFormat="1" hidden="1">
      <c r="E117" s="11"/>
      <c r="F117" s="11"/>
      <c r="G117" s="11"/>
      <c r="H117" s="11"/>
      <c r="I117" s="11"/>
      <c r="J117" s="11"/>
      <c r="K117" s="11"/>
      <c r="L117" s="11"/>
    </row>
    <row r="118" spans="4:12" s="10" customFormat="1" hidden="1">
      <c r="E118" s="11"/>
      <c r="F118" s="11"/>
      <c r="G118" s="11"/>
      <c r="H118" s="11"/>
      <c r="I118" s="11"/>
      <c r="J118" s="11"/>
      <c r="K118" s="11"/>
      <c r="L118" s="11"/>
    </row>
    <row r="119" spans="4:12" s="10" customFormat="1" hidden="1">
      <c r="E119" s="11"/>
      <c r="F119" s="11"/>
      <c r="G119" s="11"/>
      <c r="H119" s="11"/>
      <c r="I119" s="11"/>
      <c r="J119" s="11"/>
      <c r="K119" s="11"/>
      <c r="L119" s="11"/>
    </row>
    <row r="120" spans="4:12" s="10" customFormat="1" hidden="1">
      <c r="E120" s="11"/>
      <c r="F120" s="11"/>
      <c r="G120" s="11"/>
      <c r="H120" s="11"/>
      <c r="I120" s="11"/>
      <c r="J120" s="11"/>
      <c r="K120" s="11"/>
      <c r="L120" s="11"/>
    </row>
    <row r="121" spans="4:12" s="10" customFormat="1" hidden="1">
      <c r="E121" s="11"/>
      <c r="F121" s="11"/>
      <c r="G121" s="11"/>
      <c r="H121" s="11"/>
      <c r="I121" s="11"/>
      <c r="J121" s="11"/>
      <c r="K121" s="11"/>
      <c r="L121" s="11"/>
    </row>
    <row r="122" spans="4:12" s="10" customFormat="1" hidden="1">
      <c r="E122" s="11"/>
      <c r="F122" s="11"/>
      <c r="G122" s="11"/>
      <c r="H122" s="11"/>
      <c r="I122" s="11"/>
      <c r="J122" s="11"/>
      <c r="K122" s="11"/>
      <c r="L122" s="11"/>
    </row>
    <row r="123" spans="4:12" s="10" customFormat="1" hidden="1">
      <c r="E123" s="11"/>
      <c r="F123" s="11"/>
      <c r="G123" s="11"/>
      <c r="H123" s="11"/>
      <c r="I123" s="11"/>
      <c r="J123" s="11"/>
      <c r="K123" s="11"/>
      <c r="L123" s="11"/>
    </row>
    <row r="124" spans="4:12" s="10" customFormat="1" hidden="1">
      <c r="E124" s="11"/>
      <c r="F124" s="11"/>
      <c r="G124" s="11"/>
      <c r="H124" s="11"/>
      <c r="I124" s="11"/>
      <c r="J124" s="11"/>
      <c r="K124" s="11"/>
      <c r="L124" s="11"/>
    </row>
    <row r="125" spans="4:12" s="10" customFormat="1" hidden="1">
      <c r="E125" s="11"/>
      <c r="F125" s="11"/>
      <c r="G125" s="11"/>
      <c r="H125" s="11"/>
      <c r="I125" s="11"/>
      <c r="J125" s="11"/>
      <c r="K125" s="11"/>
      <c r="L125" s="11"/>
    </row>
    <row r="126" spans="4:12" s="10" customFormat="1" hidden="1">
      <c r="E126" s="11"/>
      <c r="F126" s="11"/>
      <c r="G126" s="11"/>
      <c r="H126" s="11"/>
      <c r="I126" s="11"/>
      <c r="J126" s="11"/>
      <c r="K126" s="11"/>
      <c r="L126" s="11"/>
    </row>
    <row r="127" spans="4:12" s="10" customFormat="1" hidden="1">
      <c r="E127" s="11"/>
      <c r="F127" s="11"/>
      <c r="G127" s="11"/>
      <c r="H127" s="11"/>
      <c r="I127" s="11"/>
      <c r="J127" s="11"/>
      <c r="K127" s="11"/>
      <c r="L127" s="11"/>
    </row>
    <row r="128" spans="4:12" s="10" customFormat="1" hidden="1">
      <c r="E128" s="11"/>
      <c r="F128" s="11"/>
      <c r="G128" s="11"/>
      <c r="H128" s="11"/>
      <c r="I128" s="11"/>
      <c r="J128" s="11"/>
      <c r="K128" s="11"/>
      <c r="L128" s="11"/>
    </row>
    <row r="129" spans="5:12" s="10" customFormat="1" hidden="1">
      <c r="E129" s="11"/>
      <c r="F129" s="11"/>
      <c r="G129" s="11"/>
      <c r="H129" s="11"/>
      <c r="I129" s="11"/>
      <c r="J129" s="11"/>
      <c r="K129" s="11"/>
      <c r="L129" s="11"/>
    </row>
    <row r="130" spans="5:12" s="10" customFormat="1" hidden="1">
      <c r="E130" s="11"/>
      <c r="F130" s="11"/>
      <c r="G130" s="11"/>
      <c r="H130" s="11"/>
      <c r="I130" s="11"/>
      <c r="J130" s="11"/>
      <c r="K130" s="11"/>
      <c r="L130" s="11"/>
    </row>
    <row r="131" spans="5:12" s="10" customFormat="1" hidden="1">
      <c r="E131" s="11"/>
      <c r="F131" s="11"/>
      <c r="G131" s="11"/>
      <c r="H131" s="11"/>
      <c r="I131" s="11"/>
      <c r="J131" s="11"/>
      <c r="K131" s="11"/>
      <c r="L131" s="11"/>
    </row>
    <row r="132" spans="5:12" s="10" customFormat="1" hidden="1">
      <c r="E132" s="11"/>
      <c r="F132" s="11"/>
      <c r="G132" s="11"/>
      <c r="H132" s="11"/>
      <c r="I132" s="11"/>
      <c r="J132" s="11"/>
      <c r="K132" s="11"/>
      <c r="L132" s="11"/>
    </row>
    <row r="133" spans="5:12" s="10" customFormat="1" hidden="1">
      <c r="E133" s="11"/>
      <c r="F133" s="11"/>
      <c r="G133" s="11"/>
      <c r="H133" s="11"/>
      <c r="I133" s="11"/>
      <c r="J133" s="11"/>
      <c r="K133" s="11"/>
      <c r="L133" s="11"/>
    </row>
    <row r="134" spans="5:12" s="10" customFormat="1" hidden="1">
      <c r="E134" s="11"/>
      <c r="F134" s="11"/>
      <c r="G134" s="11"/>
      <c r="H134" s="11"/>
      <c r="I134" s="11"/>
      <c r="J134" s="11"/>
      <c r="K134" s="11"/>
      <c r="L134" s="11"/>
    </row>
    <row r="135" spans="5:12" s="10" customFormat="1" hidden="1">
      <c r="E135" s="11"/>
      <c r="F135" s="11"/>
      <c r="G135" s="11"/>
      <c r="H135" s="11"/>
      <c r="I135" s="11"/>
      <c r="J135" s="11"/>
      <c r="K135" s="11"/>
      <c r="L135" s="11"/>
    </row>
    <row r="136" spans="5:12" s="10" customFormat="1" hidden="1">
      <c r="E136" s="11"/>
      <c r="F136" s="11"/>
      <c r="G136" s="11"/>
      <c r="H136" s="11"/>
      <c r="I136" s="11"/>
      <c r="J136" s="11"/>
      <c r="K136" s="11"/>
      <c r="L136" s="11"/>
    </row>
    <row r="137" spans="5:12" s="10" customFormat="1" hidden="1">
      <c r="E137" s="11"/>
      <c r="F137" s="11"/>
      <c r="G137" s="11"/>
      <c r="H137" s="11"/>
      <c r="I137" s="11"/>
      <c r="J137" s="11"/>
      <c r="K137" s="11"/>
      <c r="L137" s="11"/>
    </row>
    <row r="138" spans="5:12" s="10" customFormat="1" hidden="1">
      <c r="E138" s="11"/>
      <c r="F138" s="11"/>
      <c r="G138" s="11"/>
      <c r="H138" s="11"/>
      <c r="I138" s="11"/>
      <c r="J138" s="11"/>
      <c r="K138" s="11"/>
      <c r="L138" s="11"/>
    </row>
    <row r="139" spans="5:12" s="10" customFormat="1" hidden="1">
      <c r="E139" s="11"/>
      <c r="F139" s="11"/>
      <c r="G139" s="11"/>
      <c r="H139" s="11"/>
      <c r="I139" s="11"/>
      <c r="J139" s="11"/>
      <c r="K139" s="11"/>
      <c r="L139" s="11"/>
    </row>
    <row r="140" spans="5:12" s="10" customFormat="1" hidden="1">
      <c r="E140" s="11"/>
      <c r="F140" s="11"/>
      <c r="G140" s="11"/>
      <c r="H140" s="11"/>
      <c r="I140" s="11"/>
      <c r="J140" s="11"/>
      <c r="K140" s="11"/>
      <c r="L140" s="11"/>
    </row>
    <row r="141" spans="5:12" s="10" customFormat="1" hidden="1">
      <c r="E141" s="11"/>
      <c r="F141" s="11"/>
      <c r="G141" s="11"/>
      <c r="H141" s="11"/>
      <c r="I141" s="11"/>
      <c r="J141" s="11"/>
      <c r="K141" s="11"/>
      <c r="L141" s="11"/>
    </row>
    <row r="142" spans="5:12" s="10" customFormat="1" hidden="1">
      <c r="E142" s="11"/>
      <c r="F142" s="11"/>
      <c r="G142" s="11"/>
      <c r="H142" s="11"/>
      <c r="I142" s="11"/>
      <c r="J142" s="11"/>
      <c r="K142" s="11"/>
      <c r="L142" s="11"/>
    </row>
    <row r="143" spans="5:12" s="10" customFormat="1" hidden="1">
      <c r="E143" s="11"/>
      <c r="F143" s="11"/>
      <c r="G143" s="11"/>
      <c r="H143" s="11"/>
      <c r="I143" s="11"/>
      <c r="J143" s="11"/>
      <c r="K143" s="11"/>
      <c r="L143" s="11"/>
    </row>
    <row r="144" spans="5:12" s="10" customFormat="1" hidden="1">
      <c r="E144" s="11"/>
      <c r="F144" s="11"/>
      <c r="G144" s="11"/>
      <c r="H144" s="11"/>
      <c r="I144" s="11"/>
      <c r="J144" s="11"/>
      <c r="K144" s="11"/>
      <c r="L144" s="11"/>
    </row>
    <row r="145" spans="5:12" s="10" customFormat="1" hidden="1">
      <c r="E145" s="11"/>
      <c r="F145" s="11"/>
      <c r="G145" s="11"/>
      <c r="H145" s="11"/>
      <c r="I145" s="11"/>
      <c r="J145" s="11"/>
      <c r="K145" s="11"/>
      <c r="L145" s="11"/>
    </row>
    <row r="146" spans="5:12" s="10" customFormat="1" hidden="1">
      <c r="E146" s="11"/>
      <c r="F146" s="11"/>
      <c r="G146" s="11"/>
      <c r="H146" s="11"/>
      <c r="I146" s="11"/>
      <c r="J146" s="11"/>
      <c r="K146" s="11"/>
      <c r="L146" s="11"/>
    </row>
    <row r="147" spans="5:12" s="10" customFormat="1" hidden="1">
      <c r="E147" s="11"/>
      <c r="F147" s="11"/>
      <c r="G147" s="11"/>
      <c r="H147" s="11"/>
      <c r="I147" s="11"/>
      <c r="J147" s="11"/>
      <c r="K147" s="11"/>
      <c r="L147" s="11"/>
    </row>
    <row r="148" spans="5:12" s="10" customFormat="1" hidden="1">
      <c r="E148" s="11"/>
      <c r="F148" s="11"/>
      <c r="G148" s="11"/>
      <c r="H148" s="11"/>
      <c r="I148" s="11"/>
      <c r="J148" s="11"/>
      <c r="K148" s="11"/>
      <c r="L148" s="11"/>
    </row>
    <row r="149" spans="5:12" s="10" customFormat="1" hidden="1">
      <c r="E149" s="11"/>
      <c r="F149" s="11"/>
      <c r="G149" s="11"/>
      <c r="H149" s="11"/>
      <c r="I149" s="11"/>
      <c r="J149" s="11"/>
      <c r="K149" s="11"/>
      <c r="L149" s="11"/>
    </row>
    <row r="150" spans="5:12" s="10" customFormat="1" hidden="1">
      <c r="E150" s="11"/>
      <c r="F150" s="11"/>
      <c r="G150" s="11"/>
      <c r="H150" s="11"/>
      <c r="I150" s="11"/>
      <c r="J150" s="11"/>
      <c r="K150" s="11"/>
      <c r="L150" s="11"/>
    </row>
    <row r="151" spans="5:12" s="10" customFormat="1" hidden="1">
      <c r="E151" s="11"/>
      <c r="F151" s="11"/>
      <c r="G151" s="11"/>
      <c r="H151" s="11"/>
      <c r="I151" s="11"/>
      <c r="J151" s="11"/>
      <c r="K151" s="11"/>
      <c r="L151" s="11"/>
    </row>
    <row r="152" spans="5:12" s="10" customFormat="1" hidden="1">
      <c r="E152" s="11"/>
      <c r="F152" s="11"/>
      <c r="G152" s="11"/>
      <c r="H152" s="11"/>
      <c r="I152" s="11"/>
      <c r="J152" s="11"/>
      <c r="K152" s="11"/>
      <c r="L152" s="11"/>
    </row>
    <row r="153" spans="5:12" s="10" customFormat="1" hidden="1">
      <c r="E153" s="11"/>
      <c r="F153" s="11"/>
      <c r="G153" s="11"/>
      <c r="H153" s="11"/>
      <c r="I153" s="11"/>
      <c r="J153" s="11"/>
      <c r="K153" s="11"/>
      <c r="L153" s="11"/>
    </row>
    <row r="154" spans="5:12" s="10" customFormat="1" hidden="1">
      <c r="E154" s="11"/>
      <c r="F154" s="11"/>
      <c r="G154" s="11"/>
      <c r="H154" s="11"/>
      <c r="I154" s="11"/>
      <c r="J154" s="11"/>
      <c r="K154" s="11"/>
      <c r="L154" s="11"/>
    </row>
    <row r="155" spans="5:12" s="10" customFormat="1" hidden="1">
      <c r="E155" s="11"/>
      <c r="F155" s="11"/>
      <c r="G155" s="11"/>
      <c r="H155" s="11"/>
      <c r="I155" s="11"/>
      <c r="J155" s="11"/>
      <c r="K155" s="11"/>
      <c r="L155" s="11"/>
    </row>
    <row r="156" spans="5:12" s="10" customFormat="1" hidden="1">
      <c r="E156" s="11"/>
      <c r="F156" s="11"/>
      <c r="G156" s="11"/>
      <c r="H156" s="11"/>
      <c r="I156" s="11"/>
      <c r="J156" s="11"/>
      <c r="K156" s="11"/>
      <c r="L156" s="11"/>
    </row>
    <row r="157" spans="5:12" s="10" customFormat="1" hidden="1">
      <c r="E157" s="11"/>
      <c r="F157" s="11"/>
      <c r="G157" s="11"/>
      <c r="H157" s="11"/>
      <c r="I157" s="11"/>
      <c r="J157" s="11"/>
      <c r="K157" s="11"/>
      <c r="L157" s="11"/>
    </row>
    <row r="158" spans="5:12" s="10" customFormat="1" hidden="1">
      <c r="E158" s="11"/>
      <c r="F158" s="11"/>
      <c r="G158" s="11"/>
      <c r="H158" s="11"/>
      <c r="I158" s="11"/>
      <c r="J158" s="11"/>
      <c r="K158" s="11"/>
      <c r="L158" s="11"/>
    </row>
    <row r="159" spans="5:12" s="10" customFormat="1" hidden="1">
      <c r="E159" s="11"/>
      <c r="F159" s="11"/>
      <c r="G159" s="11"/>
      <c r="H159" s="11"/>
      <c r="I159" s="11"/>
      <c r="J159" s="11"/>
      <c r="K159" s="11"/>
      <c r="L159" s="11"/>
    </row>
    <row r="160" spans="5:12" s="10" customFormat="1" hidden="1">
      <c r="E160" s="11"/>
      <c r="F160" s="11"/>
      <c r="G160" s="11"/>
      <c r="H160" s="11"/>
      <c r="I160" s="11"/>
      <c r="J160" s="11"/>
      <c r="K160" s="11"/>
      <c r="L160" s="11"/>
    </row>
    <row r="161" spans="5:12" s="10" customFormat="1" hidden="1">
      <c r="E161" s="11"/>
      <c r="F161" s="11"/>
      <c r="G161" s="11"/>
      <c r="H161" s="11"/>
      <c r="I161" s="11"/>
      <c r="J161" s="11"/>
      <c r="K161" s="11"/>
      <c r="L161" s="11"/>
    </row>
    <row r="162" spans="5:12" s="10" customFormat="1" hidden="1">
      <c r="E162" s="11"/>
      <c r="F162" s="11"/>
      <c r="G162" s="11"/>
      <c r="H162" s="11"/>
      <c r="I162" s="11"/>
      <c r="J162" s="11"/>
      <c r="K162" s="11"/>
      <c r="L162" s="11"/>
    </row>
    <row r="163" spans="5:12" s="10" customFormat="1" hidden="1">
      <c r="E163" s="11"/>
      <c r="F163" s="11"/>
      <c r="G163" s="11"/>
      <c r="H163" s="11"/>
      <c r="I163" s="11"/>
      <c r="J163" s="11"/>
      <c r="K163" s="11"/>
      <c r="L163" s="11"/>
    </row>
    <row r="164" spans="5:12" s="10" customFormat="1" hidden="1">
      <c r="E164" s="11"/>
      <c r="F164" s="11"/>
      <c r="G164" s="11"/>
      <c r="H164" s="11"/>
      <c r="I164" s="11"/>
      <c r="J164" s="11"/>
      <c r="K164" s="11"/>
      <c r="L164" s="11"/>
    </row>
    <row r="165" spans="5:12" s="10" customFormat="1" hidden="1">
      <c r="E165" s="11"/>
      <c r="F165" s="11"/>
      <c r="G165" s="11"/>
      <c r="H165" s="11"/>
      <c r="I165" s="11"/>
      <c r="J165" s="11"/>
      <c r="K165" s="11"/>
      <c r="L165" s="11"/>
    </row>
    <row r="166" spans="5:12" s="10" customFormat="1" hidden="1">
      <c r="E166" s="11"/>
      <c r="F166" s="11"/>
      <c r="G166" s="11"/>
      <c r="H166" s="11"/>
      <c r="I166" s="11"/>
      <c r="J166" s="11"/>
      <c r="K166" s="11"/>
      <c r="L166" s="11"/>
    </row>
    <row r="167" spans="5:12" s="10" customFormat="1" hidden="1">
      <c r="E167" s="11"/>
      <c r="F167" s="11"/>
      <c r="G167" s="11"/>
      <c r="H167" s="11"/>
      <c r="I167" s="11"/>
      <c r="J167" s="11"/>
      <c r="K167" s="11"/>
      <c r="L167" s="11"/>
    </row>
    <row r="168" spans="5:12" s="10" customFormat="1" hidden="1">
      <c r="E168" s="11"/>
      <c r="F168" s="11"/>
      <c r="G168" s="11"/>
      <c r="H168" s="11"/>
      <c r="I168" s="11"/>
      <c r="J168" s="11"/>
      <c r="K168" s="11"/>
      <c r="L168" s="11"/>
    </row>
    <row r="169" spans="5:12" s="10" customFormat="1" hidden="1">
      <c r="E169" s="11"/>
      <c r="F169" s="11"/>
      <c r="G169" s="11"/>
      <c r="H169" s="11"/>
      <c r="I169" s="11"/>
      <c r="J169" s="11"/>
      <c r="K169" s="11"/>
      <c r="L169" s="11"/>
    </row>
    <row r="170" spans="5:12" s="10" customFormat="1" hidden="1"/>
    <row r="171" spans="5:12" s="10" customFormat="1" hidden="1"/>
    <row r="172" spans="5:12" s="10" customFormat="1" hidden="1"/>
    <row r="173" spans="5:12" s="10" customFormat="1" hidden="1"/>
    <row r="174" spans="5:12" s="10" customFormat="1" hidden="1"/>
    <row r="175" spans="5:12" s="10" customFormat="1" hidden="1"/>
    <row r="176" spans="5:12" s="10" customFormat="1" hidden="1"/>
    <row r="177" s="10" customFormat="1" hidden="1"/>
    <row r="178" s="10" customFormat="1" hidden="1"/>
    <row r="179" s="10" customFormat="1" hidden="1"/>
    <row r="180" s="10" customFormat="1" hidden="1"/>
    <row r="181" s="10" customFormat="1" hidden="1"/>
    <row r="182" s="10" customFormat="1" hidden="1"/>
    <row r="183" s="10" customFormat="1" hidden="1"/>
    <row r="184" s="10" customFormat="1" hidden="1"/>
    <row r="185" s="10" customFormat="1" hidden="1"/>
  </sheetData>
  <sheetProtection algorithmName="SHA-512" hashValue="GQmodktYMn8Bljk+SILnBwgA2rZ0wPV1sVlS5tKC9cAzjGrhdeWSROsUXrhcrS8oAbvhE2P327t/LkmkZoDtaA==" saltValue="mjZIbPlkvcZs3ELpf+iESg==" spinCount="100000" sheet="1" objects="1" scenarios="1" selectLockedCells="1"/>
  <conditionalFormatting sqref="D41:J49">
    <cfRule type="expression" dxfId="1" priority="2">
      <formula>D$46&lt;0</formula>
    </cfRule>
  </conditionalFormatting>
  <conditionalFormatting sqref="D49:J49">
    <cfRule type="expression" dxfId="0" priority="1">
      <formula>D$46&lt;0</formula>
    </cfRule>
  </conditionalFormatting>
  <pageMargins left="0.7" right="0.7" top="0.75" bottom="0.75" header="0.3" footer="0.3"/>
  <pageSetup scale="59" fitToHeight="0" orientation="landscape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DecreaseTime">
          <controlPr defaultSize="0" autoLine="0" r:id="rId5">
            <anchor moveWithCells="1">
              <from>
                <xdr:col>3</xdr:col>
                <xdr:colOff>152400</xdr:colOff>
                <xdr:row>6</xdr:row>
                <xdr:rowOff>146050</xdr:rowOff>
              </from>
              <to>
                <xdr:col>3</xdr:col>
                <xdr:colOff>1066800</xdr:colOff>
                <xdr:row>9</xdr:row>
                <xdr:rowOff>101600</xdr:rowOff>
              </to>
            </anchor>
          </controlPr>
        </control>
      </mc:Choice>
      <mc:Fallback>
        <control shapeId="1029" r:id="rId4" name="DecreaseTime"/>
      </mc:Fallback>
    </mc:AlternateContent>
    <mc:AlternateContent xmlns:mc="http://schemas.openxmlformats.org/markup-compatibility/2006">
      <mc:Choice Requires="x14">
        <control shapeId="1028" r:id="rId6" name="IncreaseTime">
          <controlPr defaultSize="0" autoLine="0" r:id="rId7">
            <anchor moveWithCells="1">
              <from>
                <xdr:col>3</xdr:col>
                <xdr:colOff>152400</xdr:colOff>
                <xdr:row>3</xdr:row>
                <xdr:rowOff>63500</xdr:rowOff>
              </from>
              <to>
                <xdr:col>3</xdr:col>
                <xdr:colOff>1066800</xdr:colOff>
                <xdr:row>6</xdr:row>
                <xdr:rowOff>19050</xdr:rowOff>
              </to>
            </anchor>
          </controlPr>
        </control>
      </mc:Choice>
      <mc:Fallback>
        <control shapeId="1028" r:id="rId6" name="IncreaseTime"/>
      </mc:Fallback>
    </mc:AlternateContent>
    <mc:AlternateContent xmlns:mc="http://schemas.openxmlformats.org/markup-compatibility/2006">
      <mc:Choice Requires="x14">
        <control shapeId="1027" r:id="rId8" name="DecreaseDate">
          <controlPr defaultSize="0" autoLine="0" r:id="rId5">
            <anchor moveWithCells="1">
              <from>
                <xdr:col>2</xdr:col>
                <xdr:colOff>146050</xdr:colOff>
                <xdr:row>6</xdr:row>
                <xdr:rowOff>146050</xdr:rowOff>
              </from>
              <to>
                <xdr:col>2</xdr:col>
                <xdr:colOff>1060450</xdr:colOff>
                <xdr:row>9</xdr:row>
                <xdr:rowOff>101600</xdr:rowOff>
              </to>
            </anchor>
          </controlPr>
        </control>
      </mc:Choice>
      <mc:Fallback>
        <control shapeId="1027" r:id="rId8" name="DecreaseDate"/>
      </mc:Fallback>
    </mc:AlternateContent>
    <mc:AlternateContent xmlns:mc="http://schemas.openxmlformats.org/markup-compatibility/2006">
      <mc:Choice Requires="x14">
        <control shapeId="1025" r:id="rId9" name="IncreaseDate">
          <controlPr defaultSize="0" autoLine="0" r:id="rId7">
            <anchor moveWithCells="1">
              <from>
                <xdr:col>2</xdr:col>
                <xdr:colOff>146050</xdr:colOff>
                <xdr:row>3</xdr:row>
                <xdr:rowOff>63500</xdr:rowOff>
              </from>
              <to>
                <xdr:col>2</xdr:col>
                <xdr:colOff>1060450</xdr:colOff>
                <xdr:row>6</xdr:row>
                <xdr:rowOff>19050</xdr:rowOff>
              </to>
            </anchor>
          </controlPr>
        </control>
      </mc:Choice>
      <mc:Fallback>
        <control shapeId="1025" r:id="rId9" name="IncreaseD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2026-05-27T09:17:40Z</cp:lastPrinted>
  <dcterms:created xsi:type="dcterms:W3CDTF">2026-05-27T06:44:25Z</dcterms:created>
  <dcterms:modified xsi:type="dcterms:W3CDTF">2026-05-29T01:28:20Z</dcterms:modified>
</cp:coreProperties>
</file>